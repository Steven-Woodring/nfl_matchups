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cwoody411/Desktop/Projects/Gambling/"/>
    </mc:Choice>
  </mc:AlternateContent>
  <xr:revisionPtr revIDLastSave="0" documentId="13_ncr:1_{12E9FF94-11B6-9B43-96EC-BE627EF9F572}" xr6:coauthVersionLast="47" xr6:coauthVersionMax="47" xr10:uidLastSave="{00000000-0000-0000-0000-000000000000}"/>
  <bookViews>
    <workbookView xWindow="0" yWindow="0" windowWidth="25600" windowHeight="16000" firstSheet="5" activeTab="9" xr2:uid="{9B081C2F-76F2-4F4F-A7B5-3343F169FC42}"/>
  </bookViews>
  <sheets>
    <sheet name="(pass off)" sheetId="1" r:id="rId1"/>
    <sheet name="Team Passing" sheetId="2" r:id="rId2"/>
    <sheet name="(rush off)" sheetId="3" r:id="rId3"/>
    <sheet name="Team Rushing" sheetId="4" r:id="rId4"/>
    <sheet name="(pass def)" sheetId="5" r:id="rId5"/>
    <sheet name="(rec def)" sheetId="10" r:id="rId6"/>
    <sheet name="Team Passing Def" sheetId="6" r:id="rId7"/>
    <sheet name="(rush def)" sheetId="7" r:id="rId8"/>
    <sheet name="Team Rushing Def" sheetId="8" r:id="rId9"/>
    <sheet name="CURRENT WEEK" sheetId="9" r:id="rId10"/>
    <sheet name="Schedule Ordered" sheetId="16" r:id="rId11"/>
    <sheet name="SCHEDULE" sheetId="15" r:id="rId12"/>
    <sheet name="WEEK 6" sheetId="11" r:id="rId13"/>
    <sheet name="WEEK 7" sheetId="12" r:id="rId14"/>
    <sheet name="WEEK 9" sheetId="14" r:id="rId15"/>
    <sheet name="Week __" sheetId="17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3" i="6" l="1"/>
  <c r="K33" i="6" s="1"/>
  <c r="J32" i="6"/>
  <c r="K32" i="6" s="1"/>
  <c r="J31" i="6"/>
  <c r="K31" i="6" s="1"/>
  <c r="J30" i="6"/>
  <c r="K30" i="6" s="1"/>
  <c r="J29" i="6"/>
  <c r="K29" i="6" s="1"/>
  <c r="J28" i="6"/>
  <c r="K28" i="6" s="1"/>
  <c r="J27" i="6"/>
  <c r="K27" i="6" s="1"/>
  <c r="J26" i="6"/>
  <c r="K26" i="6" s="1"/>
  <c r="J25" i="6"/>
  <c r="K25" i="6" s="1"/>
  <c r="J24" i="6"/>
  <c r="K24" i="6" s="1"/>
  <c r="J23" i="6"/>
  <c r="K23" i="6" s="1"/>
  <c r="J22" i="6"/>
  <c r="K22" i="6" s="1"/>
  <c r="J21" i="6"/>
  <c r="K21" i="6" s="1"/>
  <c r="J20" i="6"/>
  <c r="K20" i="6" s="1"/>
  <c r="J19" i="6"/>
  <c r="K19" i="6" s="1"/>
  <c r="J18" i="6"/>
  <c r="K18" i="6" s="1"/>
  <c r="J17" i="6"/>
  <c r="K17" i="6" s="1"/>
  <c r="J16" i="6"/>
  <c r="K16" i="6" s="1"/>
  <c r="J15" i="6"/>
  <c r="K15" i="6" s="1"/>
  <c r="J14" i="6"/>
  <c r="K14" i="6" s="1"/>
  <c r="J13" i="6"/>
  <c r="K13" i="6" s="1"/>
  <c r="J12" i="6"/>
  <c r="K12" i="6" s="1"/>
  <c r="J11" i="6"/>
  <c r="K11" i="6" s="1"/>
  <c r="J10" i="6"/>
  <c r="K10" i="6" s="1"/>
  <c r="J9" i="6"/>
  <c r="K9" i="6" s="1"/>
  <c r="J8" i="6"/>
  <c r="K8" i="6" s="1"/>
  <c r="J7" i="6"/>
  <c r="K7" i="6" s="1"/>
  <c r="J6" i="6"/>
  <c r="K6" i="6" s="1"/>
  <c r="J5" i="6"/>
  <c r="K5" i="6" s="1"/>
  <c r="J4" i="6"/>
  <c r="K4" i="6" s="1"/>
  <c r="J3" i="6"/>
  <c r="K3" i="6" s="1"/>
  <c r="J2" i="6"/>
  <c r="K2" i="6" s="1"/>
  <c r="E2" i="6"/>
  <c r="F2" i="6"/>
  <c r="M2" i="6"/>
  <c r="N2" i="6" s="1"/>
  <c r="P2" i="6"/>
  <c r="Q2" i="6"/>
  <c r="R2" i="6"/>
  <c r="S2" i="6"/>
  <c r="T2" i="6"/>
  <c r="U2" i="6"/>
  <c r="V2" i="6"/>
  <c r="W2" i="6"/>
  <c r="E3" i="6"/>
  <c r="F3" i="6"/>
  <c r="M3" i="6"/>
  <c r="N3" i="6" s="1"/>
  <c r="P3" i="6"/>
  <c r="Q3" i="6"/>
  <c r="R3" i="6"/>
  <c r="S3" i="6"/>
  <c r="T3" i="6"/>
  <c r="U3" i="6"/>
  <c r="V3" i="6"/>
  <c r="W3" i="6"/>
  <c r="E4" i="6"/>
  <c r="F4" i="6"/>
  <c r="M4" i="6"/>
  <c r="N4" i="6" s="1"/>
  <c r="P4" i="6"/>
  <c r="Q4" i="6"/>
  <c r="R4" i="6"/>
  <c r="S4" i="6"/>
  <c r="T4" i="6"/>
  <c r="U4" i="6"/>
  <c r="V4" i="6"/>
  <c r="W4" i="6"/>
  <c r="E5" i="6"/>
  <c r="F5" i="6"/>
  <c r="M5" i="6"/>
  <c r="N5" i="6" s="1"/>
  <c r="P5" i="6"/>
  <c r="Q5" i="6"/>
  <c r="R5" i="6"/>
  <c r="S5" i="6"/>
  <c r="T5" i="6"/>
  <c r="U5" i="6"/>
  <c r="V5" i="6"/>
  <c r="W5" i="6"/>
  <c r="E6" i="6"/>
  <c r="F6" i="6"/>
  <c r="M6" i="6"/>
  <c r="N6" i="6" s="1"/>
  <c r="P6" i="6"/>
  <c r="Q6" i="6"/>
  <c r="R6" i="6"/>
  <c r="S6" i="6"/>
  <c r="T6" i="6"/>
  <c r="U6" i="6"/>
  <c r="V6" i="6"/>
  <c r="W6" i="6"/>
  <c r="E7" i="6"/>
  <c r="F7" i="6"/>
  <c r="M7" i="6"/>
  <c r="N7" i="6" s="1"/>
  <c r="P7" i="6"/>
  <c r="Q7" i="6"/>
  <c r="R7" i="6"/>
  <c r="S7" i="6"/>
  <c r="T7" i="6"/>
  <c r="U7" i="6"/>
  <c r="V7" i="6"/>
  <c r="W7" i="6"/>
  <c r="E8" i="6"/>
  <c r="F8" i="6"/>
  <c r="M8" i="6"/>
  <c r="N8" i="6" s="1"/>
  <c r="P8" i="6"/>
  <c r="Q8" i="6"/>
  <c r="R8" i="6"/>
  <c r="S8" i="6"/>
  <c r="T8" i="6"/>
  <c r="U8" i="6"/>
  <c r="V8" i="6"/>
  <c r="W8" i="6"/>
  <c r="E9" i="6"/>
  <c r="F9" i="6"/>
  <c r="M9" i="6"/>
  <c r="N9" i="6" s="1"/>
  <c r="P9" i="6"/>
  <c r="Q9" i="6"/>
  <c r="R9" i="6"/>
  <c r="S9" i="6"/>
  <c r="T9" i="6"/>
  <c r="U9" i="6"/>
  <c r="V9" i="6"/>
  <c r="W9" i="6"/>
  <c r="E10" i="6"/>
  <c r="F10" i="6"/>
  <c r="M10" i="6"/>
  <c r="N10" i="6" s="1"/>
  <c r="P10" i="6"/>
  <c r="Q10" i="6"/>
  <c r="R10" i="6"/>
  <c r="S10" i="6"/>
  <c r="T10" i="6"/>
  <c r="U10" i="6"/>
  <c r="V10" i="6"/>
  <c r="W10" i="6"/>
  <c r="E11" i="6"/>
  <c r="F11" i="6"/>
  <c r="M11" i="6"/>
  <c r="N11" i="6" s="1"/>
  <c r="P11" i="6"/>
  <c r="Q11" i="6"/>
  <c r="R11" i="6"/>
  <c r="S11" i="6"/>
  <c r="T11" i="6"/>
  <c r="U11" i="6"/>
  <c r="V11" i="6"/>
  <c r="W11" i="6"/>
  <c r="E12" i="6"/>
  <c r="F12" i="6"/>
  <c r="M12" i="6"/>
  <c r="N12" i="6" s="1"/>
  <c r="P12" i="6"/>
  <c r="Q12" i="6"/>
  <c r="R12" i="6"/>
  <c r="S12" i="6"/>
  <c r="T12" i="6"/>
  <c r="U12" i="6"/>
  <c r="V12" i="6"/>
  <c r="W12" i="6"/>
  <c r="E13" i="6"/>
  <c r="F13" i="6"/>
  <c r="M13" i="6"/>
  <c r="N13" i="6" s="1"/>
  <c r="P13" i="6"/>
  <c r="Q13" i="6"/>
  <c r="R13" i="6"/>
  <c r="S13" i="6"/>
  <c r="T13" i="6"/>
  <c r="U13" i="6"/>
  <c r="V13" i="6"/>
  <c r="W13" i="6"/>
  <c r="E14" i="6"/>
  <c r="F14" i="6"/>
  <c r="M14" i="6"/>
  <c r="N14" i="6" s="1"/>
  <c r="P14" i="6"/>
  <c r="Q14" i="6"/>
  <c r="R14" i="6"/>
  <c r="S14" i="6"/>
  <c r="T14" i="6"/>
  <c r="U14" i="6"/>
  <c r="V14" i="6"/>
  <c r="W14" i="6"/>
  <c r="E15" i="6"/>
  <c r="F15" i="6"/>
  <c r="M15" i="6"/>
  <c r="N15" i="6" s="1"/>
  <c r="P15" i="6"/>
  <c r="Q15" i="6"/>
  <c r="R15" i="6"/>
  <c r="S15" i="6"/>
  <c r="T15" i="6"/>
  <c r="U15" i="6"/>
  <c r="V15" i="6"/>
  <c r="W15" i="6"/>
  <c r="E16" i="6"/>
  <c r="F16" i="6"/>
  <c r="M16" i="6"/>
  <c r="N16" i="6" s="1"/>
  <c r="P16" i="6"/>
  <c r="Q16" i="6"/>
  <c r="R16" i="6"/>
  <c r="S16" i="6"/>
  <c r="T16" i="6"/>
  <c r="U16" i="6"/>
  <c r="V16" i="6"/>
  <c r="W16" i="6"/>
  <c r="E17" i="6"/>
  <c r="F17" i="6"/>
  <c r="M17" i="6"/>
  <c r="N17" i="6" s="1"/>
  <c r="P17" i="6"/>
  <c r="Q17" i="6"/>
  <c r="R17" i="6"/>
  <c r="S17" i="6"/>
  <c r="T17" i="6"/>
  <c r="U17" i="6"/>
  <c r="V17" i="6"/>
  <c r="W17" i="6"/>
  <c r="E18" i="6"/>
  <c r="F18" i="6"/>
  <c r="M18" i="6"/>
  <c r="N18" i="6" s="1"/>
  <c r="P18" i="6"/>
  <c r="Q18" i="6"/>
  <c r="R18" i="6"/>
  <c r="S18" i="6"/>
  <c r="T18" i="6"/>
  <c r="U18" i="6"/>
  <c r="V18" i="6"/>
  <c r="W18" i="6"/>
  <c r="E19" i="6"/>
  <c r="F19" i="6"/>
  <c r="M19" i="6"/>
  <c r="N19" i="6" s="1"/>
  <c r="P19" i="6"/>
  <c r="Q19" i="6"/>
  <c r="R19" i="6"/>
  <c r="S19" i="6"/>
  <c r="T19" i="6"/>
  <c r="U19" i="6"/>
  <c r="V19" i="6"/>
  <c r="W19" i="6"/>
  <c r="E20" i="6"/>
  <c r="F20" i="6"/>
  <c r="M20" i="6"/>
  <c r="N20" i="6" s="1"/>
  <c r="P20" i="6"/>
  <c r="Q20" i="6"/>
  <c r="R20" i="6"/>
  <c r="S20" i="6"/>
  <c r="T20" i="6"/>
  <c r="U20" i="6"/>
  <c r="V20" i="6"/>
  <c r="W20" i="6"/>
  <c r="E21" i="6"/>
  <c r="F21" i="6"/>
  <c r="M21" i="6"/>
  <c r="N21" i="6" s="1"/>
  <c r="P21" i="6"/>
  <c r="Q21" i="6"/>
  <c r="R21" i="6"/>
  <c r="S21" i="6"/>
  <c r="T21" i="6"/>
  <c r="U21" i="6"/>
  <c r="V21" i="6"/>
  <c r="W21" i="6"/>
  <c r="E22" i="6"/>
  <c r="F22" i="6"/>
  <c r="M22" i="6"/>
  <c r="N22" i="6" s="1"/>
  <c r="P22" i="6"/>
  <c r="Q22" i="6"/>
  <c r="R22" i="6"/>
  <c r="S22" i="6"/>
  <c r="T22" i="6"/>
  <c r="U22" i="6"/>
  <c r="V22" i="6"/>
  <c r="W22" i="6"/>
  <c r="E23" i="6"/>
  <c r="F23" i="6"/>
  <c r="M23" i="6"/>
  <c r="N23" i="6" s="1"/>
  <c r="P23" i="6"/>
  <c r="Q23" i="6"/>
  <c r="R23" i="6"/>
  <c r="S23" i="6"/>
  <c r="T23" i="6"/>
  <c r="U23" i="6"/>
  <c r="V23" i="6"/>
  <c r="W23" i="6"/>
  <c r="E24" i="6"/>
  <c r="F24" i="6"/>
  <c r="M24" i="6"/>
  <c r="N24" i="6" s="1"/>
  <c r="P24" i="6"/>
  <c r="Q24" i="6"/>
  <c r="R24" i="6"/>
  <c r="S24" i="6"/>
  <c r="T24" i="6"/>
  <c r="U24" i="6"/>
  <c r="V24" i="6"/>
  <c r="W24" i="6"/>
  <c r="E25" i="6"/>
  <c r="F25" i="6"/>
  <c r="M25" i="6"/>
  <c r="N25" i="6" s="1"/>
  <c r="P25" i="6"/>
  <c r="Q25" i="6"/>
  <c r="R25" i="6"/>
  <c r="S25" i="6"/>
  <c r="T25" i="6"/>
  <c r="U25" i="6"/>
  <c r="V25" i="6"/>
  <c r="W25" i="6"/>
  <c r="E26" i="6"/>
  <c r="F26" i="6"/>
  <c r="M26" i="6"/>
  <c r="N26" i="6" s="1"/>
  <c r="P26" i="6"/>
  <c r="Q26" i="6"/>
  <c r="R26" i="6"/>
  <c r="S26" i="6"/>
  <c r="T26" i="6"/>
  <c r="U26" i="6"/>
  <c r="V26" i="6"/>
  <c r="W26" i="6"/>
  <c r="E27" i="6"/>
  <c r="F27" i="6"/>
  <c r="M27" i="6"/>
  <c r="N27" i="6" s="1"/>
  <c r="P27" i="6"/>
  <c r="Q27" i="6"/>
  <c r="R27" i="6"/>
  <c r="S27" i="6"/>
  <c r="T27" i="6"/>
  <c r="U27" i="6"/>
  <c r="V27" i="6"/>
  <c r="W27" i="6"/>
  <c r="E28" i="6"/>
  <c r="F28" i="6"/>
  <c r="M28" i="6"/>
  <c r="N28" i="6" s="1"/>
  <c r="P28" i="6"/>
  <c r="Q28" i="6"/>
  <c r="R28" i="6"/>
  <c r="S28" i="6"/>
  <c r="T28" i="6"/>
  <c r="U28" i="6"/>
  <c r="V28" i="6"/>
  <c r="W28" i="6"/>
  <c r="E29" i="6"/>
  <c r="F29" i="6"/>
  <c r="M29" i="6"/>
  <c r="N29" i="6" s="1"/>
  <c r="P29" i="6"/>
  <c r="Q29" i="6"/>
  <c r="R29" i="6"/>
  <c r="S29" i="6"/>
  <c r="T29" i="6"/>
  <c r="U29" i="6"/>
  <c r="V29" i="6"/>
  <c r="W29" i="6"/>
  <c r="E30" i="6"/>
  <c r="F30" i="6"/>
  <c r="M30" i="6"/>
  <c r="N30" i="6" s="1"/>
  <c r="P30" i="6"/>
  <c r="Q30" i="6"/>
  <c r="R30" i="6"/>
  <c r="S30" i="6"/>
  <c r="T30" i="6"/>
  <c r="U30" i="6"/>
  <c r="V30" i="6"/>
  <c r="W30" i="6"/>
  <c r="E31" i="6"/>
  <c r="F31" i="6"/>
  <c r="M31" i="6"/>
  <c r="N31" i="6" s="1"/>
  <c r="P31" i="6"/>
  <c r="Q31" i="6"/>
  <c r="R31" i="6"/>
  <c r="S31" i="6"/>
  <c r="T31" i="6"/>
  <c r="U31" i="6"/>
  <c r="V31" i="6"/>
  <c r="W31" i="6"/>
  <c r="E32" i="6"/>
  <c r="F32" i="6"/>
  <c r="M32" i="6"/>
  <c r="N32" i="6" s="1"/>
  <c r="P32" i="6"/>
  <c r="Q32" i="6"/>
  <c r="R32" i="6"/>
  <c r="S32" i="6"/>
  <c r="T32" i="6"/>
  <c r="U32" i="6"/>
  <c r="V32" i="6"/>
  <c r="W32" i="6"/>
  <c r="E33" i="6"/>
  <c r="F33" i="6"/>
  <c r="M33" i="6"/>
  <c r="N33" i="6" s="1"/>
  <c r="P33" i="6"/>
  <c r="Q33" i="6"/>
  <c r="R33" i="6"/>
  <c r="S33" i="6"/>
  <c r="T33" i="6"/>
  <c r="U33" i="6"/>
  <c r="V33" i="6"/>
  <c r="W33" i="6"/>
  <c r="E2" i="8"/>
  <c r="F2" i="8" s="1"/>
  <c r="J2" i="8"/>
  <c r="K2" i="8" s="1"/>
  <c r="M2" i="8"/>
  <c r="N2" i="8"/>
  <c r="O2" i="8"/>
  <c r="P2" i="8"/>
  <c r="Q2" i="8"/>
  <c r="R2" i="8"/>
  <c r="E3" i="8"/>
  <c r="F3" i="8" s="1"/>
  <c r="J3" i="8"/>
  <c r="K3" i="8" s="1"/>
  <c r="M3" i="8"/>
  <c r="N3" i="8"/>
  <c r="O3" i="8"/>
  <c r="P3" i="8"/>
  <c r="Q3" i="8"/>
  <c r="R3" i="8"/>
  <c r="E4" i="8"/>
  <c r="F4" i="8" s="1"/>
  <c r="J4" i="8"/>
  <c r="K4" i="8" s="1"/>
  <c r="M4" i="8"/>
  <c r="N4" i="8"/>
  <c r="O4" i="8"/>
  <c r="P4" i="8"/>
  <c r="Q4" i="8"/>
  <c r="R4" i="8"/>
  <c r="E5" i="8"/>
  <c r="F5" i="8" s="1"/>
  <c r="J5" i="8"/>
  <c r="K5" i="8" s="1"/>
  <c r="M5" i="8"/>
  <c r="N5" i="8"/>
  <c r="O5" i="8"/>
  <c r="P5" i="8"/>
  <c r="Q5" i="8"/>
  <c r="R5" i="8"/>
  <c r="E6" i="8"/>
  <c r="F6" i="8" s="1"/>
  <c r="J6" i="8"/>
  <c r="K6" i="8" s="1"/>
  <c r="M6" i="8"/>
  <c r="N6" i="8"/>
  <c r="O6" i="8"/>
  <c r="P6" i="8"/>
  <c r="Q6" i="8"/>
  <c r="R6" i="8"/>
  <c r="E7" i="8"/>
  <c r="F7" i="8" s="1"/>
  <c r="J7" i="8"/>
  <c r="K7" i="8" s="1"/>
  <c r="M7" i="8"/>
  <c r="N7" i="8"/>
  <c r="O7" i="8"/>
  <c r="P7" i="8"/>
  <c r="Q7" i="8"/>
  <c r="R7" i="8"/>
  <c r="E8" i="8"/>
  <c r="F8" i="8" s="1"/>
  <c r="J8" i="8"/>
  <c r="K8" i="8" s="1"/>
  <c r="M8" i="8"/>
  <c r="N8" i="8"/>
  <c r="O8" i="8"/>
  <c r="P8" i="8"/>
  <c r="Q8" i="8"/>
  <c r="R8" i="8"/>
  <c r="E9" i="8"/>
  <c r="F9" i="8" s="1"/>
  <c r="J9" i="8"/>
  <c r="K9" i="8" s="1"/>
  <c r="M9" i="8"/>
  <c r="N9" i="8"/>
  <c r="O9" i="8"/>
  <c r="P9" i="8"/>
  <c r="Q9" i="8"/>
  <c r="R9" i="8"/>
  <c r="E10" i="8"/>
  <c r="F10" i="8" s="1"/>
  <c r="J10" i="8"/>
  <c r="K10" i="8" s="1"/>
  <c r="M10" i="8"/>
  <c r="N10" i="8"/>
  <c r="O10" i="8"/>
  <c r="P10" i="8"/>
  <c r="Q10" i="8"/>
  <c r="R10" i="8"/>
  <c r="E11" i="8"/>
  <c r="F11" i="8" s="1"/>
  <c r="J11" i="8"/>
  <c r="K11" i="8" s="1"/>
  <c r="M11" i="8"/>
  <c r="N11" i="8"/>
  <c r="O11" i="8"/>
  <c r="P11" i="8"/>
  <c r="Q11" i="8"/>
  <c r="R11" i="8"/>
  <c r="E12" i="8"/>
  <c r="F12" i="8" s="1"/>
  <c r="J12" i="8"/>
  <c r="K12" i="8" s="1"/>
  <c r="M12" i="8"/>
  <c r="N12" i="8"/>
  <c r="O12" i="8"/>
  <c r="P12" i="8"/>
  <c r="Q12" i="8"/>
  <c r="R12" i="8"/>
  <c r="E13" i="8"/>
  <c r="F13" i="8" s="1"/>
  <c r="J13" i="8"/>
  <c r="K13" i="8" s="1"/>
  <c r="M13" i="8"/>
  <c r="N13" i="8"/>
  <c r="O13" i="8"/>
  <c r="P13" i="8"/>
  <c r="Q13" i="8"/>
  <c r="R13" i="8"/>
  <c r="E14" i="8"/>
  <c r="F14" i="8" s="1"/>
  <c r="J14" i="8"/>
  <c r="K14" i="8" s="1"/>
  <c r="M14" i="8"/>
  <c r="N14" i="8"/>
  <c r="O14" i="8"/>
  <c r="P14" i="8"/>
  <c r="Q14" i="8"/>
  <c r="R14" i="8"/>
  <c r="E15" i="8"/>
  <c r="F15" i="8" s="1"/>
  <c r="J15" i="8"/>
  <c r="K15" i="8" s="1"/>
  <c r="M15" i="8"/>
  <c r="N15" i="8"/>
  <c r="O15" i="8"/>
  <c r="P15" i="8"/>
  <c r="Q15" i="8"/>
  <c r="R15" i="8"/>
  <c r="E16" i="8"/>
  <c r="F16" i="8" s="1"/>
  <c r="J16" i="8"/>
  <c r="K16" i="8" s="1"/>
  <c r="M16" i="8"/>
  <c r="N16" i="8"/>
  <c r="O16" i="8"/>
  <c r="P16" i="8"/>
  <c r="Q16" i="8"/>
  <c r="R16" i="8"/>
  <c r="E17" i="8"/>
  <c r="F17" i="8" s="1"/>
  <c r="J17" i="8"/>
  <c r="K17" i="8" s="1"/>
  <c r="M17" i="8"/>
  <c r="N17" i="8"/>
  <c r="O17" i="8"/>
  <c r="P17" i="8"/>
  <c r="Q17" i="8"/>
  <c r="R17" i="8"/>
  <c r="E18" i="8"/>
  <c r="F18" i="8" s="1"/>
  <c r="J18" i="8"/>
  <c r="K18" i="8" s="1"/>
  <c r="M18" i="8"/>
  <c r="N18" i="8"/>
  <c r="O18" i="8"/>
  <c r="P18" i="8"/>
  <c r="Q18" i="8"/>
  <c r="R18" i="8"/>
  <c r="E19" i="8"/>
  <c r="F19" i="8" s="1"/>
  <c r="J19" i="8"/>
  <c r="K19" i="8" s="1"/>
  <c r="M19" i="8"/>
  <c r="N19" i="8"/>
  <c r="O19" i="8"/>
  <c r="P19" i="8"/>
  <c r="Q19" i="8"/>
  <c r="R19" i="8"/>
  <c r="E20" i="8"/>
  <c r="F20" i="8" s="1"/>
  <c r="J20" i="8"/>
  <c r="K20" i="8" s="1"/>
  <c r="M20" i="8"/>
  <c r="N20" i="8"/>
  <c r="O20" i="8"/>
  <c r="P20" i="8"/>
  <c r="Q20" i="8"/>
  <c r="R20" i="8"/>
  <c r="E21" i="8"/>
  <c r="F21" i="8" s="1"/>
  <c r="J21" i="8"/>
  <c r="K21" i="8" s="1"/>
  <c r="M21" i="8"/>
  <c r="N21" i="8"/>
  <c r="O21" i="8"/>
  <c r="P21" i="8"/>
  <c r="Q21" i="8"/>
  <c r="R21" i="8"/>
  <c r="E22" i="8"/>
  <c r="F22" i="8" s="1"/>
  <c r="J22" i="8"/>
  <c r="K22" i="8" s="1"/>
  <c r="M22" i="8"/>
  <c r="N22" i="8"/>
  <c r="O22" i="8"/>
  <c r="P22" i="8"/>
  <c r="Q22" i="8"/>
  <c r="R22" i="8"/>
  <c r="E23" i="8"/>
  <c r="F23" i="8" s="1"/>
  <c r="J23" i="8"/>
  <c r="K23" i="8" s="1"/>
  <c r="M23" i="8"/>
  <c r="N23" i="8"/>
  <c r="O23" i="8"/>
  <c r="P23" i="8"/>
  <c r="Q23" i="8"/>
  <c r="R23" i="8"/>
  <c r="E24" i="8"/>
  <c r="F24" i="8" s="1"/>
  <c r="J24" i="8"/>
  <c r="K24" i="8" s="1"/>
  <c r="M24" i="8"/>
  <c r="N24" i="8"/>
  <c r="O24" i="8"/>
  <c r="P24" i="8"/>
  <c r="Q24" i="8"/>
  <c r="R24" i="8"/>
  <c r="E25" i="8"/>
  <c r="F25" i="8" s="1"/>
  <c r="J25" i="8"/>
  <c r="K25" i="8" s="1"/>
  <c r="M25" i="8"/>
  <c r="N25" i="8"/>
  <c r="O25" i="8"/>
  <c r="P25" i="8"/>
  <c r="Q25" i="8"/>
  <c r="R25" i="8"/>
  <c r="E26" i="8"/>
  <c r="F26" i="8" s="1"/>
  <c r="J26" i="8"/>
  <c r="K26" i="8" s="1"/>
  <c r="M26" i="8"/>
  <c r="N26" i="8"/>
  <c r="O26" i="8"/>
  <c r="P26" i="8"/>
  <c r="Q26" i="8"/>
  <c r="R26" i="8"/>
  <c r="E27" i="8"/>
  <c r="F27" i="8" s="1"/>
  <c r="J27" i="8"/>
  <c r="K27" i="8" s="1"/>
  <c r="M27" i="8"/>
  <c r="N27" i="8"/>
  <c r="O27" i="8"/>
  <c r="P27" i="8"/>
  <c r="Q27" i="8"/>
  <c r="R27" i="8"/>
  <c r="E28" i="8"/>
  <c r="F28" i="8" s="1"/>
  <c r="J28" i="8"/>
  <c r="K28" i="8" s="1"/>
  <c r="M28" i="8"/>
  <c r="N28" i="8"/>
  <c r="O28" i="8"/>
  <c r="P28" i="8"/>
  <c r="Q28" i="8"/>
  <c r="R28" i="8"/>
  <c r="E29" i="8"/>
  <c r="F29" i="8" s="1"/>
  <c r="J29" i="8"/>
  <c r="K29" i="8" s="1"/>
  <c r="M29" i="8"/>
  <c r="N29" i="8"/>
  <c r="O29" i="8"/>
  <c r="P29" i="8"/>
  <c r="Q29" i="8"/>
  <c r="R29" i="8"/>
  <c r="E30" i="8"/>
  <c r="F30" i="8" s="1"/>
  <c r="J30" i="8"/>
  <c r="K30" i="8" s="1"/>
  <c r="M30" i="8"/>
  <c r="N30" i="8"/>
  <c r="O30" i="8"/>
  <c r="P30" i="8"/>
  <c r="Q30" i="8"/>
  <c r="R30" i="8"/>
  <c r="E31" i="8"/>
  <c r="F31" i="8" s="1"/>
  <c r="J31" i="8"/>
  <c r="K31" i="8" s="1"/>
  <c r="M31" i="8"/>
  <c r="N31" i="8"/>
  <c r="O31" i="8"/>
  <c r="P31" i="8"/>
  <c r="Q31" i="8"/>
  <c r="R31" i="8"/>
  <c r="E32" i="8"/>
  <c r="F32" i="8" s="1"/>
  <c r="J32" i="8"/>
  <c r="K32" i="8" s="1"/>
  <c r="M32" i="8"/>
  <c r="N32" i="8"/>
  <c r="O32" i="8"/>
  <c r="P32" i="8"/>
  <c r="Q32" i="8"/>
  <c r="R32" i="8"/>
  <c r="E33" i="8"/>
  <c r="F33" i="8" s="1"/>
  <c r="G33" i="8" s="1"/>
  <c r="J33" i="8"/>
  <c r="K33" i="8" s="1"/>
  <c r="M33" i="8"/>
  <c r="N33" i="8"/>
  <c r="O33" i="8"/>
  <c r="P33" i="8"/>
  <c r="Q33" i="8"/>
  <c r="R33" i="8"/>
  <c r="B33" i="8"/>
  <c r="C33" i="8" s="1"/>
  <c r="B32" i="8"/>
  <c r="C32" i="8" s="1"/>
  <c r="B31" i="8"/>
  <c r="C31" i="8" s="1"/>
  <c r="B30" i="8"/>
  <c r="C30" i="8" s="1"/>
  <c r="B29" i="8"/>
  <c r="C29" i="8" s="1"/>
  <c r="B28" i="8"/>
  <c r="C28" i="8" s="1"/>
  <c r="B27" i="8"/>
  <c r="C27" i="8" s="1"/>
  <c r="B26" i="8"/>
  <c r="C26" i="8" s="1"/>
  <c r="B25" i="8"/>
  <c r="C25" i="8" s="1"/>
  <c r="B24" i="8"/>
  <c r="C24" i="8" s="1"/>
  <c r="B23" i="8"/>
  <c r="C23" i="8" s="1"/>
  <c r="B22" i="8"/>
  <c r="C22" i="8" s="1"/>
  <c r="B21" i="8"/>
  <c r="C21" i="8" s="1"/>
  <c r="B20" i="8"/>
  <c r="C20" i="8" s="1"/>
  <c r="B19" i="8"/>
  <c r="C19" i="8" s="1"/>
  <c r="B18" i="8"/>
  <c r="C18" i="8" s="1"/>
  <c r="B17" i="8"/>
  <c r="C17" i="8" s="1"/>
  <c r="B16" i="8"/>
  <c r="C16" i="8" s="1"/>
  <c r="B15" i="8"/>
  <c r="C15" i="8" s="1"/>
  <c r="B14" i="8"/>
  <c r="C14" i="8" s="1"/>
  <c r="B13" i="8"/>
  <c r="C13" i="8" s="1"/>
  <c r="B12" i="8"/>
  <c r="C12" i="8" s="1"/>
  <c r="B11" i="8"/>
  <c r="C11" i="8" s="1"/>
  <c r="B10" i="8"/>
  <c r="C10" i="8" s="1"/>
  <c r="B9" i="8"/>
  <c r="C9" i="8" s="1"/>
  <c r="B8" i="8"/>
  <c r="C8" i="8" s="1"/>
  <c r="B7" i="8"/>
  <c r="C7" i="8" s="1"/>
  <c r="B6" i="8"/>
  <c r="C6" i="8" s="1"/>
  <c r="B5" i="8"/>
  <c r="C5" i="8" s="1"/>
  <c r="B4" i="8"/>
  <c r="C4" i="8" s="1"/>
  <c r="B3" i="8"/>
  <c r="C3" i="8" s="1"/>
  <c r="B2" i="8"/>
  <c r="C2" i="8" s="1"/>
  <c r="B33" i="6"/>
  <c r="C33" i="6" s="1"/>
  <c r="B32" i="6"/>
  <c r="C32" i="6" s="1"/>
  <c r="B31" i="6"/>
  <c r="C31" i="6" s="1"/>
  <c r="B30" i="6"/>
  <c r="C30" i="6" s="1"/>
  <c r="B29" i="6"/>
  <c r="C29" i="6" s="1"/>
  <c r="B28" i="6"/>
  <c r="C28" i="6" s="1"/>
  <c r="B27" i="6"/>
  <c r="C27" i="6" s="1"/>
  <c r="B26" i="6"/>
  <c r="C26" i="6" s="1"/>
  <c r="B25" i="6"/>
  <c r="C25" i="6" s="1"/>
  <c r="B24" i="6"/>
  <c r="C24" i="6" s="1"/>
  <c r="B23" i="6"/>
  <c r="C23" i="6" s="1"/>
  <c r="B22" i="6"/>
  <c r="C22" i="6" s="1"/>
  <c r="B21" i="6"/>
  <c r="C21" i="6" s="1"/>
  <c r="B20" i="6"/>
  <c r="C20" i="6" s="1"/>
  <c r="B19" i="6"/>
  <c r="C19" i="6" s="1"/>
  <c r="B18" i="6"/>
  <c r="C18" i="6" s="1"/>
  <c r="B17" i="6"/>
  <c r="C17" i="6" s="1"/>
  <c r="B16" i="6"/>
  <c r="C16" i="6" s="1"/>
  <c r="B15" i="6"/>
  <c r="C15" i="6" s="1"/>
  <c r="B14" i="6"/>
  <c r="C14" i="6" s="1"/>
  <c r="B13" i="6"/>
  <c r="C13" i="6" s="1"/>
  <c r="B12" i="6"/>
  <c r="C12" i="6" s="1"/>
  <c r="B11" i="6"/>
  <c r="C11" i="6" s="1"/>
  <c r="B10" i="6"/>
  <c r="C10" i="6" s="1"/>
  <c r="B9" i="6"/>
  <c r="C9" i="6" s="1"/>
  <c r="B8" i="6"/>
  <c r="C8" i="6" s="1"/>
  <c r="B7" i="6"/>
  <c r="C7" i="6" s="1"/>
  <c r="B6" i="6"/>
  <c r="C6" i="6" s="1"/>
  <c r="B5" i="6"/>
  <c r="C5" i="6" s="1"/>
  <c r="B4" i="6"/>
  <c r="C4" i="6" s="1"/>
  <c r="B3" i="6"/>
  <c r="C3" i="6" s="1"/>
  <c r="B2" i="6"/>
  <c r="C2" i="6" s="1"/>
  <c r="E2" i="4"/>
  <c r="F2" i="4" s="1"/>
  <c r="J2" i="4"/>
  <c r="K2" i="4" s="1"/>
  <c r="M2" i="4"/>
  <c r="N2" i="4"/>
  <c r="O2" i="4"/>
  <c r="P2" i="4"/>
  <c r="Q2" i="4"/>
  <c r="R2" i="4"/>
  <c r="E3" i="4"/>
  <c r="F3" i="4" s="1"/>
  <c r="J3" i="4"/>
  <c r="K3" i="4" s="1"/>
  <c r="M3" i="4"/>
  <c r="N3" i="4"/>
  <c r="O3" i="4"/>
  <c r="P3" i="4"/>
  <c r="Q3" i="4"/>
  <c r="R3" i="4"/>
  <c r="E4" i="4"/>
  <c r="F4" i="4" s="1"/>
  <c r="J4" i="4"/>
  <c r="K4" i="4" s="1"/>
  <c r="M4" i="4"/>
  <c r="N4" i="4"/>
  <c r="O4" i="4"/>
  <c r="P4" i="4"/>
  <c r="Q4" i="4"/>
  <c r="R4" i="4"/>
  <c r="E5" i="4"/>
  <c r="F5" i="4" s="1"/>
  <c r="J5" i="4"/>
  <c r="K5" i="4" s="1"/>
  <c r="M5" i="4"/>
  <c r="N5" i="4"/>
  <c r="O5" i="4"/>
  <c r="P5" i="4"/>
  <c r="Q5" i="4"/>
  <c r="R5" i="4"/>
  <c r="E6" i="4"/>
  <c r="F6" i="4" s="1"/>
  <c r="J6" i="4"/>
  <c r="K6" i="4" s="1"/>
  <c r="M6" i="4"/>
  <c r="N6" i="4"/>
  <c r="O6" i="4"/>
  <c r="P6" i="4"/>
  <c r="Q6" i="4"/>
  <c r="R6" i="4"/>
  <c r="E7" i="4"/>
  <c r="F7" i="4" s="1"/>
  <c r="J7" i="4"/>
  <c r="K7" i="4" s="1"/>
  <c r="M7" i="4"/>
  <c r="N7" i="4"/>
  <c r="O7" i="4"/>
  <c r="P7" i="4"/>
  <c r="Q7" i="4"/>
  <c r="R7" i="4"/>
  <c r="E8" i="4"/>
  <c r="F8" i="4" s="1"/>
  <c r="J8" i="4"/>
  <c r="K8" i="4" s="1"/>
  <c r="M8" i="4"/>
  <c r="N8" i="4"/>
  <c r="O8" i="4"/>
  <c r="P8" i="4"/>
  <c r="Q8" i="4"/>
  <c r="R8" i="4"/>
  <c r="E9" i="4"/>
  <c r="F9" i="4" s="1"/>
  <c r="J9" i="4"/>
  <c r="K9" i="4" s="1"/>
  <c r="M9" i="4"/>
  <c r="N9" i="4"/>
  <c r="O9" i="4"/>
  <c r="P9" i="4"/>
  <c r="Q9" i="4"/>
  <c r="R9" i="4"/>
  <c r="E10" i="4"/>
  <c r="F10" i="4" s="1"/>
  <c r="J10" i="4"/>
  <c r="K10" i="4" s="1"/>
  <c r="M10" i="4"/>
  <c r="N10" i="4"/>
  <c r="O10" i="4"/>
  <c r="P10" i="4"/>
  <c r="Q10" i="4"/>
  <c r="R10" i="4"/>
  <c r="E11" i="4"/>
  <c r="F11" i="4" s="1"/>
  <c r="J11" i="4"/>
  <c r="K11" i="4" s="1"/>
  <c r="M11" i="4"/>
  <c r="N11" i="4"/>
  <c r="O11" i="4"/>
  <c r="P11" i="4"/>
  <c r="Q11" i="4"/>
  <c r="R11" i="4"/>
  <c r="E12" i="4"/>
  <c r="F12" i="4" s="1"/>
  <c r="J12" i="4"/>
  <c r="K12" i="4" s="1"/>
  <c r="M12" i="4"/>
  <c r="N12" i="4"/>
  <c r="O12" i="4"/>
  <c r="P12" i="4"/>
  <c r="Q12" i="4"/>
  <c r="R12" i="4"/>
  <c r="E13" i="4"/>
  <c r="F13" i="4" s="1"/>
  <c r="J13" i="4"/>
  <c r="K13" i="4" s="1"/>
  <c r="M13" i="4"/>
  <c r="N13" i="4"/>
  <c r="O13" i="4"/>
  <c r="P13" i="4"/>
  <c r="Q13" i="4"/>
  <c r="R13" i="4"/>
  <c r="E14" i="4"/>
  <c r="F14" i="4" s="1"/>
  <c r="J14" i="4"/>
  <c r="K14" i="4" s="1"/>
  <c r="M14" i="4"/>
  <c r="N14" i="4"/>
  <c r="O14" i="4"/>
  <c r="P14" i="4"/>
  <c r="Q14" i="4"/>
  <c r="R14" i="4"/>
  <c r="E15" i="4"/>
  <c r="F15" i="4" s="1"/>
  <c r="J15" i="4"/>
  <c r="K15" i="4" s="1"/>
  <c r="M15" i="4"/>
  <c r="N15" i="4"/>
  <c r="O15" i="4"/>
  <c r="P15" i="4"/>
  <c r="Q15" i="4"/>
  <c r="R15" i="4"/>
  <c r="E16" i="4"/>
  <c r="F16" i="4" s="1"/>
  <c r="J16" i="4"/>
  <c r="K16" i="4" s="1"/>
  <c r="M16" i="4"/>
  <c r="N16" i="4"/>
  <c r="O16" i="4"/>
  <c r="P16" i="4"/>
  <c r="Q16" i="4"/>
  <c r="R16" i="4"/>
  <c r="E17" i="4"/>
  <c r="F17" i="4" s="1"/>
  <c r="J17" i="4"/>
  <c r="K17" i="4" s="1"/>
  <c r="M17" i="4"/>
  <c r="N17" i="4"/>
  <c r="O17" i="4"/>
  <c r="P17" i="4"/>
  <c r="Q17" i="4"/>
  <c r="R17" i="4"/>
  <c r="E18" i="4"/>
  <c r="F18" i="4" s="1"/>
  <c r="J18" i="4"/>
  <c r="K18" i="4" s="1"/>
  <c r="M18" i="4"/>
  <c r="N18" i="4"/>
  <c r="O18" i="4"/>
  <c r="P18" i="4"/>
  <c r="Q18" i="4"/>
  <c r="R18" i="4"/>
  <c r="E19" i="4"/>
  <c r="F19" i="4" s="1"/>
  <c r="J19" i="4"/>
  <c r="K19" i="4" s="1"/>
  <c r="M19" i="4"/>
  <c r="N19" i="4"/>
  <c r="O19" i="4"/>
  <c r="P19" i="4"/>
  <c r="Q19" i="4"/>
  <c r="R19" i="4"/>
  <c r="E20" i="4"/>
  <c r="F20" i="4" s="1"/>
  <c r="J20" i="4"/>
  <c r="K20" i="4" s="1"/>
  <c r="M20" i="4"/>
  <c r="N20" i="4"/>
  <c r="O20" i="4"/>
  <c r="P20" i="4"/>
  <c r="Q20" i="4"/>
  <c r="R20" i="4"/>
  <c r="E21" i="4"/>
  <c r="F21" i="4" s="1"/>
  <c r="J21" i="4"/>
  <c r="K21" i="4" s="1"/>
  <c r="M21" i="4"/>
  <c r="N21" i="4"/>
  <c r="O21" i="4"/>
  <c r="P21" i="4"/>
  <c r="Q21" i="4"/>
  <c r="R21" i="4"/>
  <c r="E22" i="4"/>
  <c r="F22" i="4" s="1"/>
  <c r="J22" i="4"/>
  <c r="K22" i="4" s="1"/>
  <c r="M22" i="4"/>
  <c r="N22" i="4"/>
  <c r="O22" i="4"/>
  <c r="P22" i="4"/>
  <c r="Q22" i="4"/>
  <c r="R22" i="4"/>
  <c r="E23" i="4"/>
  <c r="F23" i="4" s="1"/>
  <c r="J23" i="4"/>
  <c r="K23" i="4" s="1"/>
  <c r="M23" i="4"/>
  <c r="N23" i="4"/>
  <c r="O23" i="4"/>
  <c r="P23" i="4"/>
  <c r="Q23" i="4"/>
  <c r="R23" i="4"/>
  <c r="E24" i="4"/>
  <c r="F24" i="4" s="1"/>
  <c r="J24" i="4"/>
  <c r="K24" i="4" s="1"/>
  <c r="M24" i="4"/>
  <c r="N24" i="4"/>
  <c r="O24" i="4"/>
  <c r="P24" i="4"/>
  <c r="Q24" i="4"/>
  <c r="R24" i="4"/>
  <c r="E25" i="4"/>
  <c r="F25" i="4" s="1"/>
  <c r="J25" i="4"/>
  <c r="K25" i="4" s="1"/>
  <c r="M25" i="4"/>
  <c r="N25" i="4"/>
  <c r="O25" i="4"/>
  <c r="P25" i="4"/>
  <c r="Q25" i="4"/>
  <c r="R25" i="4"/>
  <c r="E26" i="4"/>
  <c r="F26" i="4" s="1"/>
  <c r="J26" i="4"/>
  <c r="K26" i="4" s="1"/>
  <c r="M26" i="4"/>
  <c r="N26" i="4"/>
  <c r="O26" i="4"/>
  <c r="P26" i="4"/>
  <c r="Q26" i="4"/>
  <c r="R26" i="4"/>
  <c r="E27" i="4"/>
  <c r="F27" i="4" s="1"/>
  <c r="J27" i="4"/>
  <c r="K27" i="4" s="1"/>
  <c r="M27" i="4"/>
  <c r="N27" i="4"/>
  <c r="O27" i="4"/>
  <c r="P27" i="4"/>
  <c r="Q27" i="4"/>
  <c r="R27" i="4"/>
  <c r="E28" i="4"/>
  <c r="F28" i="4" s="1"/>
  <c r="J28" i="4"/>
  <c r="K28" i="4" s="1"/>
  <c r="M28" i="4"/>
  <c r="N28" i="4"/>
  <c r="O28" i="4"/>
  <c r="P28" i="4"/>
  <c r="Q28" i="4"/>
  <c r="R28" i="4"/>
  <c r="E29" i="4"/>
  <c r="F29" i="4" s="1"/>
  <c r="J29" i="4"/>
  <c r="K29" i="4" s="1"/>
  <c r="M29" i="4"/>
  <c r="N29" i="4"/>
  <c r="O29" i="4"/>
  <c r="P29" i="4"/>
  <c r="Q29" i="4"/>
  <c r="R29" i="4"/>
  <c r="E30" i="4"/>
  <c r="F30" i="4" s="1"/>
  <c r="J30" i="4"/>
  <c r="K30" i="4" s="1"/>
  <c r="M30" i="4"/>
  <c r="N30" i="4"/>
  <c r="O30" i="4"/>
  <c r="P30" i="4"/>
  <c r="Q30" i="4"/>
  <c r="R30" i="4"/>
  <c r="E31" i="4"/>
  <c r="F31" i="4" s="1"/>
  <c r="J31" i="4"/>
  <c r="K31" i="4" s="1"/>
  <c r="M31" i="4"/>
  <c r="N31" i="4"/>
  <c r="O31" i="4"/>
  <c r="P31" i="4"/>
  <c r="Q31" i="4"/>
  <c r="R31" i="4"/>
  <c r="E32" i="4"/>
  <c r="F32" i="4" s="1"/>
  <c r="J32" i="4"/>
  <c r="K32" i="4" s="1"/>
  <c r="M32" i="4"/>
  <c r="N32" i="4"/>
  <c r="O32" i="4"/>
  <c r="P32" i="4"/>
  <c r="Q32" i="4"/>
  <c r="R32" i="4"/>
  <c r="E33" i="4"/>
  <c r="F33" i="4" s="1"/>
  <c r="J33" i="4"/>
  <c r="K33" i="4" s="1"/>
  <c r="M33" i="4"/>
  <c r="N33" i="4"/>
  <c r="O33" i="4"/>
  <c r="P33" i="4"/>
  <c r="Q33" i="4"/>
  <c r="R33" i="4"/>
  <c r="B33" i="4"/>
  <c r="C33" i="4" s="1"/>
  <c r="B32" i="4"/>
  <c r="C32" i="4" s="1"/>
  <c r="B31" i="4"/>
  <c r="C31" i="4" s="1"/>
  <c r="B30" i="4"/>
  <c r="C30" i="4" s="1"/>
  <c r="B29" i="4"/>
  <c r="C29" i="4" s="1"/>
  <c r="B28" i="4"/>
  <c r="C28" i="4" s="1"/>
  <c r="B27" i="4"/>
  <c r="C27" i="4" s="1"/>
  <c r="B26" i="4"/>
  <c r="C26" i="4" s="1"/>
  <c r="B25" i="4"/>
  <c r="C25" i="4" s="1"/>
  <c r="B24" i="4"/>
  <c r="C24" i="4" s="1"/>
  <c r="B23" i="4"/>
  <c r="C23" i="4" s="1"/>
  <c r="B22" i="4"/>
  <c r="C22" i="4" s="1"/>
  <c r="B21" i="4"/>
  <c r="C21" i="4" s="1"/>
  <c r="B20" i="4"/>
  <c r="C20" i="4" s="1"/>
  <c r="B19" i="4"/>
  <c r="C19" i="4" s="1"/>
  <c r="B18" i="4"/>
  <c r="C18" i="4" s="1"/>
  <c r="B17" i="4"/>
  <c r="C17" i="4" s="1"/>
  <c r="B16" i="4"/>
  <c r="C16" i="4" s="1"/>
  <c r="B15" i="4"/>
  <c r="C15" i="4" s="1"/>
  <c r="B14" i="4"/>
  <c r="C14" i="4" s="1"/>
  <c r="B13" i="4"/>
  <c r="C13" i="4" s="1"/>
  <c r="B12" i="4"/>
  <c r="C12" i="4" s="1"/>
  <c r="B11" i="4"/>
  <c r="C11" i="4" s="1"/>
  <c r="B10" i="4"/>
  <c r="C10" i="4" s="1"/>
  <c r="B9" i="4"/>
  <c r="C9" i="4" s="1"/>
  <c r="B8" i="4"/>
  <c r="C8" i="4" s="1"/>
  <c r="B7" i="4"/>
  <c r="C7" i="4" s="1"/>
  <c r="B6" i="4"/>
  <c r="C6" i="4" s="1"/>
  <c r="B5" i="4"/>
  <c r="C5" i="4" s="1"/>
  <c r="B4" i="4"/>
  <c r="C4" i="4" s="1"/>
  <c r="B3" i="4"/>
  <c r="C3" i="4" s="1"/>
  <c r="B2" i="4"/>
  <c r="C2" i="4" s="1"/>
  <c r="E3" i="2"/>
  <c r="F3" i="2"/>
  <c r="J3" i="2"/>
  <c r="K3" i="2" s="1"/>
  <c r="M3" i="2"/>
  <c r="N3" i="2" s="1"/>
  <c r="P3" i="2"/>
  <c r="Q3" i="2"/>
  <c r="R3" i="2"/>
  <c r="S3" i="2"/>
  <c r="T3" i="2"/>
  <c r="U3" i="2"/>
  <c r="V3" i="2"/>
  <c r="W3" i="2"/>
  <c r="X3" i="2"/>
  <c r="E4" i="2"/>
  <c r="F4" i="2"/>
  <c r="J4" i="2"/>
  <c r="K4" i="2" s="1"/>
  <c r="M4" i="2"/>
  <c r="N4" i="2" s="1"/>
  <c r="P4" i="2"/>
  <c r="Q4" i="2"/>
  <c r="R4" i="2"/>
  <c r="S4" i="2"/>
  <c r="T4" i="2"/>
  <c r="U4" i="2"/>
  <c r="V4" i="2"/>
  <c r="W4" i="2"/>
  <c r="X4" i="2"/>
  <c r="E5" i="2"/>
  <c r="F5" i="2"/>
  <c r="J5" i="2"/>
  <c r="K5" i="2" s="1"/>
  <c r="M5" i="2"/>
  <c r="N5" i="2" s="1"/>
  <c r="P5" i="2"/>
  <c r="Q5" i="2"/>
  <c r="R5" i="2"/>
  <c r="S5" i="2"/>
  <c r="T5" i="2"/>
  <c r="U5" i="2"/>
  <c r="V5" i="2"/>
  <c r="W5" i="2"/>
  <c r="X5" i="2"/>
  <c r="E6" i="2"/>
  <c r="F6" i="2"/>
  <c r="J6" i="2"/>
  <c r="K6" i="2" s="1"/>
  <c r="M6" i="2"/>
  <c r="N6" i="2" s="1"/>
  <c r="P6" i="2"/>
  <c r="Q6" i="2"/>
  <c r="R6" i="2"/>
  <c r="S6" i="2"/>
  <c r="T6" i="2"/>
  <c r="U6" i="2"/>
  <c r="V6" i="2"/>
  <c r="W6" i="2"/>
  <c r="X6" i="2"/>
  <c r="E7" i="2"/>
  <c r="F7" i="2"/>
  <c r="J7" i="2"/>
  <c r="K7" i="2" s="1"/>
  <c r="M7" i="2"/>
  <c r="N7" i="2" s="1"/>
  <c r="P7" i="2"/>
  <c r="Q7" i="2"/>
  <c r="R7" i="2"/>
  <c r="S7" i="2"/>
  <c r="T7" i="2"/>
  <c r="U7" i="2"/>
  <c r="V7" i="2"/>
  <c r="W7" i="2"/>
  <c r="X7" i="2"/>
  <c r="E8" i="2"/>
  <c r="F8" i="2"/>
  <c r="J8" i="2"/>
  <c r="K8" i="2" s="1"/>
  <c r="M8" i="2"/>
  <c r="N8" i="2" s="1"/>
  <c r="P8" i="2"/>
  <c r="Q8" i="2"/>
  <c r="R8" i="2"/>
  <c r="S8" i="2"/>
  <c r="T8" i="2"/>
  <c r="U8" i="2"/>
  <c r="V8" i="2"/>
  <c r="W8" i="2"/>
  <c r="X8" i="2"/>
  <c r="E9" i="2"/>
  <c r="F9" i="2"/>
  <c r="J9" i="2"/>
  <c r="K9" i="2" s="1"/>
  <c r="M9" i="2"/>
  <c r="N9" i="2" s="1"/>
  <c r="P9" i="2"/>
  <c r="Q9" i="2"/>
  <c r="R9" i="2"/>
  <c r="S9" i="2"/>
  <c r="T9" i="2"/>
  <c r="U9" i="2"/>
  <c r="V9" i="2"/>
  <c r="W9" i="2"/>
  <c r="X9" i="2"/>
  <c r="E10" i="2"/>
  <c r="F10" i="2"/>
  <c r="J10" i="2"/>
  <c r="K10" i="2" s="1"/>
  <c r="M10" i="2"/>
  <c r="N10" i="2" s="1"/>
  <c r="P10" i="2"/>
  <c r="Q10" i="2"/>
  <c r="R10" i="2"/>
  <c r="S10" i="2"/>
  <c r="T10" i="2"/>
  <c r="U10" i="2"/>
  <c r="V10" i="2"/>
  <c r="W10" i="2"/>
  <c r="X10" i="2"/>
  <c r="E11" i="2"/>
  <c r="F11" i="2"/>
  <c r="J11" i="2"/>
  <c r="K11" i="2" s="1"/>
  <c r="M11" i="2"/>
  <c r="N11" i="2" s="1"/>
  <c r="P11" i="2"/>
  <c r="Q11" i="2"/>
  <c r="R11" i="2"/>
  <c r="S11" i="2"/>
  <c r="T11" i="2"/>
  <c r="U11" i="2"/>
  <c r="V11" i="2"/>
  <c r="W11" i="2"/>
  <c r="X11" i="2"/>
  <c r="E12" i="2"/>
  <c r="F12" i="2"/>
  <c r="J12" i="2"/>
  <c r="K12" i="2" s="1"/>
  <c r="M12" i="2"/>
  <c r="N12" i="2" s="1"/>
  <c r="P12" i="2"/>
  <c r="Q12" i="2"/>
  <c r="R12" i="2"/>
  <c r="S12" i="2"/>
  <c r="T12" i="2"/>
  <c r="U12" i="2"/>
  <c r="V12" i="2"/>
  <c r="W12" i="2"/>
  <c r="X12" i="2"/>
  <c r="E13" i="2"/>
  <c r="F13" i="2"/>
  <c r="J13" i="2"/>
  <c r="K13" i="2" s="1"/>
  <c r="M13" i="2"/>
  <c r="N13" i="2" s="1"/>
  <c r="P13" i="2"/>
  <c r="Q13" i="2"/>
  <c r="R13" i="2"/>
  <c r="S13" i="2"/>
  <c r="T13" i="2"/>
  <c r="U13" i="2"/>
  <c r="V13" i="2"/>
  <c r="W13" i="2"/>
  <c r="X13" i="2"/>
  <c r="E14" i="2"/>
  <c r="F14" i="2"/>
  <c r="J14" i="2"/>
  <c r="K14" i="2" s="1"/>
  <c r="M14" i="2"/>
  <c r="N14" i="2" s="1"/>
  <c r="P14" i="2"/>
  <c r="Q14" i="2"/>
  <c r="R14" i="2"/>
  <c r="S14" i="2"/>
  <c r="T14" i="2"/>
  <c r="U14" i="2"/>
  <c r="V14" i="2"/>
  <c r="W14" i="2"/>
  <c r="X14" i="2"/>
  <c r="E15" i="2"/>
  <c r="F15" i="2"/>
  <c r="J15" i="2"/>
  <c r="K15" i="2" s="1"/>
  <c r="M15" i="2"/>
  <c r="N15" i="2" s="1"/>
  <c r="P15" i="2"/>
  <c r="Q15" i="2"/>
  <c r="R15" i="2"/>
  <c r="S15" i="2"/>
  <c r="T15" i="2"/>
  <c r="U15" i="2"/>
  <c r="V15" i="2"/>
  <c r="W15" i="2"/>
  <c r="X15" i="2"/>
  <c r="E16" i="2"/>
  <c r="F16" i="2"/>
  <c r="J16" i="2"/>
  <c r="K16" i="2" s="1"/>
  <c r="M16" i="2"/>
  <c r="N16" i="2" s="1"/>
  <c r="P16" i="2"/>
  <c r="Q16" i="2"/>
  <c r="R16" i="2"/>
  <c r="S16" i="2"/>
  <c r="T16" i="2"/>
  <c r="U16" i="2"/>
  <c r="V16" i="2"/>
  <c r="W16" i="2"/>
  <c r="X16" i="2"/>
  <c r="E17" i="2"/>
  <c r="F17" i="2"/>
  <c r="J17" i="2"/>
  <c r="K17" i="2" s="1"/>
  <c r="M17" i="2"/>
  <c r="N17" i="2" s="1"/>
  <c r="P17" i="2"/>
  <c r="Q17" i="2"/>
  <c r="R17" i="2"/>
  <c r="S17" i="2"/>
  <c r="T17" i="2"/>
  <c r="U17" i="2"/>
  <c r="V17" i="2"/>
  <c r="W17" i="2"/>
  <c r="X17" i="2"/>
  <c r="E18" i="2"/>
  <c r="F18" i="2"/>
  <c r="J18" i="2"/>
  <c r="K18" i="2" s="1"/>
  <c r="M18" i="2"/>
  <c r="N18" i="2" s="1"/>
  <c r="P18" i="2"/>
  <c r="Q18" i="2"/>
  <c r="R18" i="2"/>
  <c r="S18" i="2"/>
  <c r="T18" i="2"/>
  <c r="U18" i="2"/>
  <c r="V18" i="2"/>
  <c r="W18" i="2"/>
  <c r="X18" i="2"/>
  <c r="E19" i="2"/>
  <c r="F19" i="2"/>
  <c r="J19" i="2"/>
  <c r="K19" i="2" s="1"/>
  <c r="M19" i="2"/>
  <c r="N19" i="2" s="1"/>
  <c r="P19" i="2"/>
  <c r="Q19" i="2"/>
  <c r="R19" i="2"/>
  <c r="S19" i="2"/>
  <c r="T19" i="2"/>
  <c r="U19" i="2"/>
  <c r="V19" i="2"/>
  <c r="W19" i="2"/>
  <c r="X19" i="2"/>
  <c r="E20" i="2"/>
  <c r="F20" i="2"/>
  <c r="J20" i="2"/>
  <c r="K20" i="2" s="1"/>
  <c r="M20" i="2"/>
  <c r="N20" i="2" s="1"/>
  <c r="P20" i="2"/>
  <c r="Q20" i="2"/>
  <c r="R20" i="2"/>
  <c r="S20" i="2"/>
  <c r="T20" i="2"/>
  <c r="U20" i="2"/>
  <c r="V20" i="2"/>
  <c r="W20" i="2"/>
  <c r="X20" i="2"/>
  <c r="E21" i="2"/>
  <c r="F21" i="2"/>
  <c r="J21" i="2"/>
  <c r="K21" i="2" s="1"/>
  <c r="M21" i="2"/>
  <c r="N21" i="2" s="1"/>
  <c r="P21" i="2"/>
  <c r="Q21" i="2"/>
  <c r="R21" i="2"/>
  <c r="S21" i="2"/>
  <c r="T21" i="2"/>
  <c r="U21" i="2"/>
  <c r="V21" i="2"/>
  <c r="W21" i="2"/>
  <c r="X21" i="2"/>
  <c r="E22" i="2"/>
  <c r="F22" i="2"/>
  <c r="J22" i="2"/>
  <c r="K22" i="2" s="1"/>
  <c r="M22" i="2"/>
  <c r="N22" i="2" s="1"/>
  <c r="P22" i="2"/>
  <c r="Q22" i="2"/>
  <c r="R22" i="2"/>
  <c r="S22" i="2"/>
  <c r="T22" i="2"/>
  <c r="U22" i="2"/>
  <c r="V22" i="2"/>
  <c r="W22" i="2"/>
  <c r="X22" i="2"/>
  <c r="E23" i="2"/>
  <c r="F23" i="2"/>
  <c r="J23" i="2"/>
  <c r="K23" i="2" s="1"/>
  <c r="M23" i="2"/>
  <c r="N23" i="2" s="1"/>
  <c r="P23" i="2"/>
  <c r="Q23" i="2"/>
  <c r="R23" i="2"/>
  <c r="S23" i="2"/>
  <c r="T23" i="2"/>
  <c r="U23" i="2"/>
  <c r="V23" i="2"/>
  <c r="W23" i="2"/>
  <c r="X23" i="2"/>
  <c r="E24" i="2"/>
  <c r="F24" i="2"/>
  <c r="J24" i="2"/>
  <c r="K24" i="2" s="1"/>
  <c r="M24" i="2"/>
  <c r="N24" i="2" s="1"/>
  <c r="P24" i="2"/>
  <c r="Q24" i="2"/>
  <c r="R24" i="2"/>
  <c r="S24" i="2"/>
  <c r="T24" i="2"/>
  <c r="U24" i="2"/>
  <c r="V24" i="2"/>
  <c r="W24" i="2"/>
  <c r="X24" i="2"/>
  <c r="E25" i="2"/>
  <c r="F25" i="2"/>
  <c r="J25" i="2"/>
  <c r="K25" i="2" s="1"/>
  <c r="M25" i="2"/>
  <c r="N25" i="2" s="1"/>
  <c r="P25" i="2"/>
  <c r="Q25" i="2"/>
  <c r="R25" i="2"/>
  <c r="S25" i="2"/>
  <c r="T25" i="2"/>
  <c r="U25" i="2"/>
  <c r="V25" i="2"/>
  <c r="W25" i="2"/>
  <c r="X25" i="2"/>
  <c r="E26" i="2"/>
  <c r="F26" i="2"/>
  <c r="J26" i="2"/>
  <c r="K26" i="2" s="1"/>
  <c r="M26" i="2"/>
  <c r="N26" i="2" s="1"/>
  <c r="P26" i="2"/>
  <c r="Q26" i="2"/>
  <c r="R26" i="2"/>
  <c r="S26" i="2"/>
  <c r="T26" i="2"/>
  <c r="U26" i="2"/>
  <c r="V26" i="2"/>
  <c r="W26" i="2"/>
  <c r="X26" i="2"/>
  <c r="E27" i="2"/>
  <c r="F27" i="2"/>
  <c r="J27" i="2"/>
  <c r="K27" i="2" s="1"/>
  <c r="M27" i="2"/>
  <c r="N27" i="2" s="1"/>
  <c r="P27" i="2"/>
  <c r="Q27" i="2"/>
  <c r="R27" i="2"/>
  <c r="S27" i="2"/>
  <c r="T27" i="2"/>
  <c r="U27" i="2"/>
  <c r="V27" i="2"/>
  <c r="W27" i="2"/>
  <c r="X27" i="2"/>
  <c r="E28" i="2"/>
  <c r="F28" i="2"/>
  <c r="J28" i="2"/>
  <c r="K28" i="2" s="1"/>
  <c r="M28" i="2"/>
  <c r="N28" i="2" s="1"/>
  <c r="P28" i="2"/>
  <c r="Q28" i="2"/>
  <c r="R28" i="2"/>
  <c r="S28" i="2"/>
  <c r="T28" i="2"/>
  <c r="U28" i="2"/>
  <c r="V28" i="2"/>
  <c r="W28" i="2"/>
  <c r="X28" i="2"/>
  <c r="E29" i="2"/>
  <c r="F29" i="2"/>
  <c r="J29" i="2"/>
  <c r="K29" i="2" s="1"/>
  <c r="M29" i="2"/>
  <c r="N29" i="2" s="1"/>
  <c r="P29" i="2"/>
  <c r="Q29" i="2"/>
  <c r="R29" i="2"/>
  <c r="S29" i="2"/>
  <c r="T29" i="2"/>
  <c r="U29" i="2"/>
  <c r="V29" i="2"/>
  <c r="W29" i="2"/>
  <c r="X29" i="2"/>
  <c r="E30" i="2"/>
  <c r="F30" i="2"/>
  <c r="J30" i="2"/>
  <c r="K30" i="2" s="1"/>
  <c r="M30" i="2"/>
  <c r="N30" i="2" s="1"/>
  <c r="P30" i="2"/>
  <c r="Q30" i="2"/>
  <c r="R30" i="2"/>
  <c r="S30" i="2"/>
  <c r="T30" i="2"/>
  <c r="U30" i="2"/>
  <c r="V30" i="2"/>
  <c r="W30" i="2"/>
  <c r="X30" i="2"/>
  <c r="E31" i="2"/>
  <c r="F31" i="2"/>
  <c r="J31" i="2"/>
  <c r="K31" i="2" s="1"/>
  <c r="M31" i="2"/>
  <c r="N31" i="2" s="1"/>
  <c r="P31" i="2"/>
  <c r="Q31" i="2"/>
  <c r="R31" i="2"/>
  <c r="S31" i="2"/>
  <c r="T31" i="2"/>
  <c r="U31" i="2"/>
  <c r="V31" i="2"/>
  <c r="W31" i="2"/>
  <c r="X31" i="2"/>
  <c r="E32" i="2"/>
  <c r="F32" i="2"/>
  <c r="J32" i="2"/>
  <c r="K32" i="2" s="1"/>
  <c r="M32" i="2"/>
  <c r="N32" i="2" s="1"/>
  <c r="P32" i="2"/>
  <c r="Q32" i="2"/>
  <c r="R32" i="2"/>
  <c r="S32" i="2"/>
  <c r="T32" i="2"/>
  <c r="U32" i="2"/>
  <c r="V32" i="2"/>
  <c r="W32" i="2"/>
  <c r="X32" i="2"/>
  <c r="E33" i="2"/>
  <c r="F33" i="2"/>
  <c r="J33" i="2"/>
  <c r="K33" i="2" s="1"/>
  <c r="M33" i="2"/>
  <c r="N33" i="2" s="1"/>
  <c r="P33" i="2"/>
  <c r="Q33" i="2"/>
  <c r="R33" i="2"/>
  <c r="S33" i="2"/>
  <c r="T33" i="2"/>
  <c r="U33" i="2"/>
  <c r="V33" i="2"/>
  <c r="W33" i="2"/>
  <c r="X33" i="2"/>
  <c r="B33" i="2"/>
  <c r="C33" i="2" s="1"/>
  <c r="B32" i="2"/>
  <c r="C32" i="2" s="1"/>
  <c r="B31" i="2"/>
  <c r="C31" i="2" s="1"/>
  <c r="B30" i="2"/>
  <c r="C30" i="2" s="1"/>
  <c r="B29" i="2"/>
  <c r="C29" i="2" s="1"/>
  <c r="B28" i="2"/>
  <c r="C28" i="2" s="1"/>
  <c r="B27" i="2"/>
  <c r="C27" i="2" s="1"/>
  <c r="B26" i="2"/>
  <c r="C26" i="2" s="1"/>
  <c r="B25" i="2"/>
  <c r="C25" i="2" s="1"/>
  <c r="B24" i="2"/>
  <c r="C24" i="2" s="1"/>
  <c r="B23" i="2"/>
  <c r="C23" i="2" s="1"/>
  <c r="B22" i="2"/>
  <c r="C22" i="2" s="1"/>
  <c r="B21" i="2"/>
  <c r="C21" i="2" s="1"/>
  <c r="B20" i="2"/>
  <c r="C20" i="2" s="1"/>
  <c r="B19" i="2"/>
  <c r="C19" i="2" s="1"/>
  <c r="B18" i="2"/>
  <c r="C18" i="2" s="1"/>
  <c r="B17" i="2"/>
  <c r="C17" i="2" s="1"/>
  <c r="B16" i="2"/>
  <c r="C16" i="2" s="1"/>
  <c r="B15" i="2"/>
  <c r="C15" i="2" s="1"/>
  <c r="B14" i="2"/>
  <c r="C14" i="2" s="1"/>
  <c r="B13" i="2"/>
  <c r="C13" i="2" s="1"/>
  <c r="B12" i="2"/>
  <c r="C12" i="2" s="1"/>
  <c r="B11" i="2"/>
  <c r="C11" i="2" s="1"/>
  <c r="B10" i="2"/>
  <c r="C10" i="2" s="1"/>
  <c r="B9" i="2"/>
  <c r="C9" i="2" s="1"/>
  <c r="B8" i="2"/>
  <c r="C8" i="2" s="1"/>
  <c r="B7" i="2"/>
  <c r="C7" i="2" s="1"/>
  <c r="B6" i="2"/>
  <c r="C6" i="2" s="1"/>
  <c r="B5" i="2"/>
  <c r="C5" i="2" s="1"/>
  <c r="B4" i="2"/>
  <c r="C4" i="2" s="1"/>
  <c r="B3" i="2"/>
  <c r="C3" i="2" s="1"/>
  <c r="F2" i="2"/>
  <c r="J2" i="2"/>
  <c r="K2" i="2" s="1"/>
  <c r="M2" i="2"/>
  <c r="N2" i="2" s="1"/>
  <c r="P2" i="2"/>
  <c r="Q2" i="2"/>
  <c r="R2" i="2"/>
  <c r="S2" i="2"/>
  <c r="T2" i="2"/>
  <c r="U2" i="2"/>
  <c r="V2" i="2"/>
  <c r="W2" i="2"/>
  <c r="X2" i="2"/>
  <c r="E2" i="2"/>
  <c r="B2" i="2"/>
  <c r="C2" i="2" s="1"/>
  <c r="K19" i="9" l="1"/>
  <c r="K5" i="9"/>
  <c r="K13" i="9"/>
  <c r="K33" i="9"/>
  <c r="K10" i="9"/>
  <c r="K30" i="9"/>
  <c r="K26" i="9"/>
  <c r="K12" i="9"/>
  <c r="K20" i="9"/>
  <c r="O30" i="6"/>
  <c r="L2" i="4"/>
  <c r="K22" i="9"/>
  <c r="K28" i="9"/>
  <c r="L2" i="2"/>
  <c r="L28" i="4"/>
  <c r="L20" i="4"/>
  <c r="L16" i="4"/>
  <c r="L4" i="4"/>
  <c r="L2" i="8"/>
  <c r="L26" i="8"/>
  <c r="L10" i="8"/>
  <c r="K4" i="9"/>
  <c r="O26" i="6"/>
  <c r="O22" i="6"/>
  <c r="L30" i="2"/>
  <c r="L26" i="2"/>
  <c r="L22" i="2"/>
  <c r="L18" i="2"/>
  <c r="L14" i="2"/>
  <c r="L10" i="2"/>
  <c r="L30" i="4"/>
  <c r="L26" i="4"/>
  <c r="L22" i="4"/>
  <c r="L18" i="4"/>
  <c r="L14" i="4"/>
  <c r="L10" i="4"/>
  <c r="L6" i="4"/>
  <c r="L32" i="4"/>
  <c r="L12" i="4"/>
  <c r="L30" i="8"/>
  <c r="L22" i="8"/>
  <c r="L18" i="8"/>
  <c r="L14" i="8"/>
  <c r="L6" i="8"/>
  <c r="K3" i="9"/>
  <c r="K7" i="9"/>
  <c r="K11" i="9"/>
  <c r="K15" i="9"/>
  <c r="K23" i="9"/>
  <c r="L33" i="2"/>
  <c r="L29" i="2"/>
  <c r="L25" i="2"/>
  <c r="L21" i="2"/>
  <c r="L17" i="2"/>
  <c r="L13" i="2"/>
  <c r="L9" i="2"/>
  <c r="L5" i="2"/>
  <c r="L33" i="4"/>
  <c r="L29" i="4"/>
  <c r="L25" i="4"/>
  <c r="L21" i="4"/>
  <c r="L17" i="4"/>
  <c r="L13" i="4"/>
  <c r="L9" i="4"/>
  <c r="L5" i="4"/>
  <c r="L33" i="8"/>
  <c r="L29" i="8"/>
  <c r="L25" i="8"/>
  <c r="L21" i="8"/>
  <c r="L17" i="8"/>
  <c r="L13" i="8"/>
  <c r="L9" i="8"/>
  <c r="L5" i="8"/>
  <c r="K24" i="9"/>
  <c r="L32" i="2"/>
  <c r="L28" i="2"/>
  <c r="L24" i="2"/>
  <c r="L20" i="2"/>
  <c r="L16" i="2"/>
  <c r="L12" i="2"/>
  <c r="L8" i="2"/>
  <c r="L4" i="2"/>
  <c r="L24" i="4"/>
  <c r="L8" i="4"/>
  <c r="L32" i="8"/>
  <c r="L28" i="8"/>
  <c r="L24" i="8"/>
  <c r="L20" i="8"/>
  <c r="L16" i="8"/>
  <c r="L12" i="8"/>
  <c r="L8" i="8"/>
  <c r="L4" i="8"/>
  <c r="K16" i="9"/>
  <c r="K2" i="9"/>
  <c r="K9" i="9"/>
  <c r="K17" i="9"/>
  <c r="K21" i="9"/>
  <c r="L31" i="2"/>
  <c r="L27" i="2"/>
  <c r="L23" i="2"/>
  <c r="L19" i="2"/>
  <c r="L15" i="2"/>
  <c r="L11" i="2"/>
  <c r="L31" i="4"/>
  <c r="L27" i="4"/>
  <c r="J27" i="9" s="1"/>
  <c r="L23" i="4"/>
  <c r="L19" i="4"/>
  <c r="L15" i="4"/>
  <c r="L11" i="4"/>
  <c r="L7" i="4"/>
  <c r="L3" i="4"/>
  <c r="L31" i="8"/>
  <c r="L27" i="8"/>
  <c r="L23" i="8"/>
  <c r="L19" i="8"/>
  <c r="L15" i="8"/>
  <c r="O18" i="6"/>
  <c r="O14" i="6"/>
  <c r="O10" i="6"/>
  <c r="O6" i="6"/>
  <c r="O2" i="6"/>
  <c r="K29" i="9"/>
  <c r="O31" i="2"/>
  <c r="I31" i="9" s="1"/>
  <c r="O33" i="6"/>
  <c r="O29" i="6"/>
  <c r="O25" i="6"/>
  <c r="O21" i="6"/>
  <c r="O17" i="6"/>
  <c r="O13" i="6"/>
  <c r="O9" i="6"/>
  <c r="O5" i="6"/>
  <c r="K18" i="9"/>
  <c r="L6" i="2"/>
  <c r="K8" i="9"/>
  <c r="K25" i="9"/>
  <c r="K6" i="9"/>
  <c r="K14" i="9"/>
  <c r="K27" i="9"/>
  <c r="K31" i="9"/>
  <c r="O31" i="6"/>
  <c r="O27" i="6"/>
  <c r="O23" i="6"/>
  <c r="O19" i="6"/>
  <c r="O15" i="6"/>
  <c r="O11" i="6"/>
  <c r="O7" i="6"/>
  <c r="O3" i="6"/>
  <c r="L4" i="6"/>
  <c r="L8" i="6"/>
  <c r="L11" i="8"/>
  <c r="L7" i="8"/>
  <c r="L3" i="8"/>
  <c r="K32" i="9"/>
  <c r="G32" i="4"/>
  <c r="G31" i="4"/>
  <c r="G28" i="4"/>
  <c r="G32" i="8"/>
  <c r="G31" i="8"/>
  <c r="O32" i="6"/>
  <c r="O28" i="6"/>
  <c r="O24" i="6"/>
  <c r="O20" i="6"/>
  <c r="O16" i="6"/>
  <c r="O12" i="6"/>
  <c r="O8" i="6"/>
  <c r="O4" i="6"/>
  <c r="L7" i="2"/>
  <c r="L3" i="2"/>
  <c r="G27" i="8"/>
  <c r="G23" i="8"/>
  <c r="G19" i="8"/>
  <c r="G7" i="8"/>
  <c r="G29" i="8"/>
  <c r="G26" i="8"/>
  <c r="G21" i="8"/>
  <c r="G17" i="8"/>
  <c r="G14" i="8"/>
  <c r="G13" i="8"/>
  <c r="G12" i="8"/>
  <c r="G10" i="8"/>
  <c r="G9" i="8"/>
  <c r="G6" i="8"/>
  <c r="G5" i="8"/>
  <c r="G4" i="8"/>
  <c r="G3" i="8"/>
  <c r="G2" i="8"/>
  <c r="G30" i="8"/>
  <c r="G25" i="8"/>
  <c r="G22" i="8"/>
  <c r="G18" i="8"/>
  <c r="G15" i="8"/>
  <c r="G8" i="8"/>
  <c r="G28" i="8"/>
  <c r="G24" i="8"/>
  <c r="G20" i="8"/>
  <c r="G16" i="8"/>
  <c r="G11" i="8"/>
  <c r="D24" i="8"/>
  <c r="D8" i="8"/>
  <c r="D4" i="8"/>
  <c r="D12" i="8"/>
  <c r="D32" i="8"/>
  <c r="D2" i="8"/>
  <c r="D9" i="8"/>
  <c r="D13" i="8"/>
  <c r="D17" i="8"/>
  <c r="D21" i="8"/>
  <c r="D25" i="8"/>
  <c r="D29" i="8"/>
  <c r="D33" i="8"/>
  <c r="D30" i="8"/>
  <c r="D14" i="8"/>
  <c r="D16" i="8"/>
  <c r="D28" i="8"/>
  <c r="D18" i="8"/>
  <c r="D5" i="8"/>
  <c r="D26" i="8"/>
  <c r="D10" i="8"/>
  <c r="D20" i="8"/>
  <c r="D3" i="8"/>
  <c r="D7" i="8"/>
  <c r="D11" i="8"/>
  <c r="D15" i="8"/>
  <c r="D19" i="8"/>
  <c r="D23" i="8"/>
  <c r="D27" i="8"/>
  <c r="D31" i="8"/>
  <c r="D22" i="8"/>
  <c r="D6" i="8"/>
  <c r="L12" i="6"/>
  <c r="L24" i="6"/>
  <c r="L32" i="6"/>
  <c r="L17" i="6"/>
  <c r="L13" i="6"/>
  <c r="L2" i="6"/>
  <c r="L6" i="6"/>
  <c r="L10" i="6"/>
  <c r="L14" i="6"/>
  <c r="L18" i="6"/>
  <c r="L22" i="6"/>
  <c r="L26" i="6"/>
  <c r="L30" i="6"/>
  <c r="L25" i="6"/>
  <c r="L9" i="6"/>
  <c r="L16" i="6"/>
  <c r="L20" i="6"/>
  <c r="L28" i="6"/>
  <c r="L33" i="6"/>
  <c r="L29" i="6"/>
  <c r="L3" i="6"/>
  <c r="L7" i="6"/>
  <c r="L11" i="6"/>
  <c r="L15" i="6"/>
  <c r="L19" i="6"/>
  <c r="L23" i="6"/>
  <c r="L27" i="6"/>
  <c r="L31" i="6"/>
  <c r="L21" i="6"/>
  <c r="L5" i="6"/>
  <c r="D2" i="6"/>
  <c r="D6" i="6"/>
  <c r="D22" i="6"/>
  <c r="D3" i="6"/>
  <c r="D7" i="6"/>
  <c r="D11" i="6"/>
  <c r="D15" i="6"/>
  <c r="D19" i="6"/>
  <c r="D23" i="6"/>
  <c r="D27" i="6"/>
  <c r="D31" i="6"/>
  <c r="D29" i="6"/>
  <c r="D13" i="6"/>
  <c r="D14" i="6"/>
  <c r="D30" i="6"/>
  <c r="D17" i="6"/>
  <c r="D4" i="6"/>
  <c r="D8" i="6"/>
  <c r="D16" i="6"/>
  <c r="D20" i="6"/>
  <c r="D24" i="6"/>
  <c r="D28" i="6"/>
  <c r="D32" i="6"/>
  <c r="D25" i="6"/>
  <c r="D9" i="6"/>
  <c r="D10" i="6"/>
  <c r="D18" i="6"/>
  <c r="D26" i="6"/>
  <c r="D33" i="6"/>
  <c r="D12" i="6"/>
  <c r="D21" i="6"/>
  <c r="D5" i="6"/>
  <c r="G30" i="6"/>
  <c r="G27" i="4"/>
  <c r="G15" i="4"/>
  <c r="G26" i="4"/>
  <c r="G18" i="4"/>
  <c r="G10" i="4"/>
  <c r="G24" i="4"/>
  <c r="G12" i="4"/>
  <c r="G33" i="4"/>
  <c r="G25" i="4"/>
  <c r="G17" i="4"/>
  <c r="G9" i="4"/>
  <c r="G20" i="4"/>
  <c r="G16" i="4"/>
  <c r="G30" i="4"/>
  <c r="G22" i="4"/>
  <c r="G14" i="4"/>
  <c r="G6" i="4"/>
  <c r="G23" i="4"/>
  <c r="G19" i="4"/>
  <c r="G11" i="4"/>
  <c r="G8" i="4"/>
  <c r="G7" i="4"/>
  <c r="G4" i="4"/>
  <c r="G3" i="4"/>
  <c r="G2" i="4"/>
  <c r="G29" i="4"/>
  <c r="G21" i="4"/>
  <c r="G13" i="4"/>
  <c r="G5" i="4"/>
  <c r="D2" i="4"/>
  <c r="D22" i="4"/>
  <c r="D3" i="4"/>
  <c r="D7" i="4"/>
  <c r="D11" i="4"/>
  <c r="D15" i="4"/>
  <c r="D19" i="4"/>
  <c r="H19" i="9" s="1"/>
  <c r="D23" i="4"/>
  <c r="D27" i="4"/>
  <c r="D31" i="4"/>
  <c r="D29" i="4"/>
  <c r="D13" i="4"/>
  <c r="D10" i="4"/>
  <c r="D14" i="4"/>
  <c r="D30" i="4"/>
  <c r="D33" i="4"/>
  <c r="D4" i="4"/>
  <c r="D12" i="4"/>
  <c r="D16" i="4"/>
  <c r="H16" i="9" s="1"/>
  <c r="D20" i="4"/>
  <c r="D28" i="4"/>
  <c r="D32" i="4"/>
  <c r="D25" i="4"/>
  <c r="D9" i="4"/>
  <c r="D6" i="4"/>
  <c r="D18" i="4"/>
  <c r="D26" i="4"/>
  <c r="D17" i="4"/>
  <c r="D8" i="4"/>
  <c r="D24" i="4"/>
  <c r="D21" i="4"/>
  <c r="D5" i="4"/>
  <c r="O19" i="2"/>
  <c r="I19" i="9" s="1"/>
  <c r="O11" i="2"/>
  <c r="I11" i="9" s="1"/>
  <c r="O7" i="2"/>
  <c r="I7" i="9" s="1"/>
  <c r="O3" i="2"/>
  <c r="I3" i="9" s="1"/>
  <c r="O18" i="2"/>
  <c r="I18" i="9" s="1"/>
  <c r="O27" i="2"/>
  <c r="I27" i="9" s="1"/>
  <c r="O30" i="2"/>
  <c r="I30" i="9" s="1"/>
  <c r="O15" i="2"/>
  <c r="I15" i="9" s="1"/>
  <c r="O33" i="2"/>
  <c r="I33" i="9" s="1"/>
  <c r="O29" i="2"/>
  <c r="I29" i="9" s="1"/>
  <c r="O25" i="2"/>
  <c r="I25" i="9" s="1"/>
  <c r="O21" i="2"/>
  <c r="I21" i="9" s="1"/>
  <c r="O17" i="2"/>
  <c r="I17" i="9" s="1"/>
  <c r="O13" i="2"/>
  <c r="I13" i="9" s="1"/>
  <c r="O9" i="2"/>
  <c r="I9" i="9" s="1"/>
  <c r="O5" i="2"/>
  <c r="I5" i="9" s="1"/>
  <c r="O26" i="2"/>
  <c r="I26" i="9" s="1"/>
  <c r="O23" i="2"/>
  <c r="I23" i="9" s="1"/>
  <c r="O14" i="2"/>
  <c r="I14" i="9" s="1"/>
  <c r="O10" i="2"/>
  <c r="I10" i="9" s="1"/>
  <c r="O2" i="2"/>
  <c r="I2" i="9" s="1"/>
  <c r="O32" i="2"/>
  <c r="I32" i="9" s="1"/>
  <c r="O28" i="2"/>
  <c r="I28" i="9" s="1"/>
  <c r="O24" i="2"/>
  <c r="I24" i="9" s="1"/>
  <c r="O20" i="2"/>
  <c r="I20" i="9" s="1"/>
  <c r="O16" i="2"/>
  <c r="I16" i="9" s="1"/>
  <c r="O12" i="2"/>
  <c r="I12" i="9" s="1"/>
  <c r="O8" i="2"/>
  <c r="I8" i="9" s="1"/>
  <c r="O4" i="2"/>
  <c r="I4" i="9" s="1"/>
  <c r="O22" i="2"/>
  <c r="I22" i="9" s="1"/>
  <c r="O6" i="2"/>
  <c r="I6" i="9" s="1"/>
  <c r="D3" i="2"/>
  <c r="D7" i="2"/>
  <c r="D11" i="2"/>
  <c r="D4" i="2"/>
  <c r="D32" i="2"/>
  <c r="D18" i="2"/>
  <c r="D19" i="2"/>
  <c r="D8" i="2"/>
  <c r="D16" i="2"/>
  <c r="D28" i="2"/>
  <c r="D9" i="2"/>
  <c r="D17" i="2"/>
  <c r="D21" i="2"/>
  <c r="D33" i="2"/>
  <c r="D30" i="2"/>
  <c r="D23" i="2"/>
  <c r="D12" i="2"/>
  <c r="D20" i="2"/>
  <c r="D24" i="2"/>
  <c r="D14" i="2"/>
  <c r="D2" i="2"/>
  <c r="D5" i="2"/>
  <c r="D13" i="2"/>
  <c r="D25" i="2"/>
  <c r="D29" i="2"/>
  <c r="D26" i="2"/>
  <c r="D10" i="2"/>
  <c r="D15" i="2"/>
  <c r="D27" i="2"/>
  <c r="D31" i="2"/>
  <c r="D22" i="2"/>
  <c r="D6" i="2"/>
  <c r="H30" i="8"/>
  <c r="H26" i="8"/>
  <c r="G22" i="6"/>
  <c r="G14" i="6"/>
  <c r="G6" i="6"/>
  <c r="G31" i="6"/>
  <c r="G27" i="6"/>
  <c r="G23" i="6"/>
  <c r="G19" i="6"/>
  <c r="G15" i="6"/>
  <c r="G11" i="6"/>
  <c r="G7" i="6"/>
  <c r="G3" i="6"/>
  <c r="G26" i="6"/>
  <c r="G10" i="6"/>
  <c r="G5" i="6"/>
  <c r="G32" i="6"/>
  <c r="G28" i="6"/>
  <c r="G24" i="6"/>
  <c r="G20" i="6"/>
  <c r="G16" i="6"/>
  <c r="G12" i="6"/>
  <c r="G8" i="6"/>
  <c r="G4" i="6"/>
  <c r="G18" i="6"/>
  <c r="H31" i="4"/>
  <c r="H30" i="4"/>
  <c r="H27" i="4"/>
  <c r="H23" i="4"/>
  <c r="H22" i="4"/>
  <c r="H19" i="4"/>
  <c r="H15" i="4"/>
  <c r="G7" i="2"/>
  <c r="G33" i="2"/>
  <c r="G5" i="2"/>
  <c r="G4" i="2"/>
  <c r="G29" i="2"/>
  <c r="G25" i="2"/>
  <c r="E25" i="9" s="1"/>
  <c r="G21" i="2"/>
  <c r="E21" i="9" s="1"/>
  <c r="G17" i="2"/>
  <c r="G13" i="2"/>
  <c r="E13" i="9" s="1"/>
  <c r="G9" i="2"/>
  <c r="G32" i="2"/>
  <c r="E32" i="9" s="1"/>
  <c r="G28" i="2"/>
  <c r="G24" i="2"/>
  <c r="G20" i="2"/>
  <c r="G16" i="2"/>
  <c r="E16" i="9" s="1"/>
  <c r="G12" i="2"/>
  <c r="G8" i="2"/>
  <c r="G31" i="2"/>
  <c r="G27" i="2"/>
  <c r="G23" i="2"/>
  <c r="G19" i="2"/>
  <c r="G15" i="2"/>
  <c r="G11" i="2"/>
  <c r="G3" i="2"/>
  <c r="H22" i="8"/>
  <c r="H18" i="8"/>
  <c r="H14" i="8"/>
  <c r="H10" i="8"/>
  <c r="H6" i="8"/>
  <c r="H4" i="8"/>
  <c r="H4" i="6"/>
  <c r="H8" i="6"/>
  <c r="H12" i="6"/>
  <c r="H16" i="6"/>
  <c r="H20" i="6"/>
  <c r="H24" i="6"/>
  <c r="H28" i="6"/>
  <c r="H32" i="6"/>
  <c r="G2" i="6"/>
  <c r="G33" i="6"/>
  <c r="G29" i="6"/>
  <c r="G25" i="6"/>
  <c r="G21" i="6"/>
  <c r="G17" i="6"/>
  <c r="G13" i="6"/>
  <c r="G9" i="6"/>
  <c r="H3" i="6"/>
  <c r="H11" i="6"/>
  <c r="H15" i="6"/>
  <c r="H19" i="6"/>
  <c r="H27" i="6"/>
  <c r="H31" i="6"/>
  <c r="H25" i="4"/>
  <c r="H11" i="4"/>
  <c r="H3" i="4"/>
  <c r="H29" i="4"/>
  <c r="H7" i="4"/>
  <c r="G2" i="2"/>
  <c r="E2" i="9" s="1"/>
  <c r="G14" i="2"/>
  <c r="E14" i="9" s="1"/>
  <c r="G26" i="2"/>
  <c r="G18" i="2"/>
  <c r="E18" i="9" s="1"/>
  <c r="G22" i="2"/>
  <c r="G10" i="2"/>
  <c r="E10" i="9" s="1"/>
  <c r="G30" i="2"/>
  <c r="E30" i="9" s="1"/>
  <c r="G6" i="2"/>
  <c r="E6" i="9" s="1"/>
  <c r="H5" i="8"/>
  <c r="H2" i="8"/>
  <c r="H2" i="4"/>
  <c r="H26" i="4"/>
  <c r="H18" i="4"/>
  <c r="H14" i="4"/>
  <c r="H10" i="4"/>
  <c r="H6" i="4"/>
  <c r="H33" i="4"/>
  <c r="H21" i="4"/>
  <c r="H17" i="4"/>
  <c r="H13" i="4"/>
  <c r="H9" i="4"/>
  <c r="H5" i="4"/>
  <c r="H32" i="4"/>
  <c r="H28" i="4"/>
  <c r="H24" i="4"/>
  <c r="H20" i="4"/>
  <c r="H16" i="4"/>
  <c r="H12" i="4"/>
  <c r="H8" i="4"/>
  <c r="H4" i="4"/>
  <c r="H5" i="6"/>
  <c r="H9" i="6"/>
  <c r="H13" i="6"/>
  <c r="H17" i="6"/>
  <c r="H21" i="6"/>
  <c r="H25" i="6"/>
  <c r="H29" i="6"/>
  <c r="H33" i="6"/>
  <c r="H23" i="6"/>
  <c r="H7" i="6"/>
  <c r="H2" i="6"/>
  <c r="H6" i="6"/>
  <c r="H10" i="6"/>
  <c r="H14" i="6"/>
  <c r="H18" i="6"/>
  <c r="H22" i="6"/>
  <c r="H26" i="6"/>
  <c r="H30" i="6"/>
  <c r="H27" i="2"/>
  <c r="H23" i="2"/>
  <c r="H19" i="2"/>
  <c r="H11" i="2"/>
  <c r="H7" i="2"/>
  <c r="H3" i="2"/>
  <c r="H24" i="2"/>
  <c r="H8" i="2"/>
  <c r="H33" i="2"/>
  <c r="H29" i="2"/>
  <c r="H25" i="2"/>
  <c r="H21" i="2"/>
  <c r="H17" i="2"/>
  <c r="H32" i="2"/>
  <c r="H28" i="2"/>
  <c r="H20" i="2"/>
  <c r="H16" i="2"/>
  <c r="H12" i="2"/>
  <c r="H4" i="2"/>
  <c r="H13" i="2"/>
  <c r="H9" i="2"/>
  <c r="H5" i="2"/>
  <c r="H2" i="2"/>
  <c r="H31" i="2"/>
  <c r="H15" i="2"/>
  <c r="H30" i="2"/>
  <c r="H26" i="2"/>
  <c r="H22" i="2"/>
  <c r="H18" i="2"/>
  <c r="H14" i="2"/>
  <c r="H10" i="2"/>
  <c r="H6" i="2"/>
  <c r="H33" i="8"/>
  <c r="H29" i="8"/>
  <c r="H25" i="8"/>
  <c r="H21" i="8"/>
  <c r="H17" i="8"/>
  <c r="H13" i="8"/>
  <c r="H9" i="8"/>
  <c r="H3" i="8"/>
  <c r="H32" i="8"/>
  <c r="H28" i="8"/>
  <c r="H24" i="8"/>
  <c r="H20" i="8"/>
  <c r="H16" i="8"/>
  <c r="H12" i="8"/>
  <c r="H8" i="8"/>
  <c r="H31" i="8"/>
  <c r="H27" i="8"/>
  <c r="H23" i="8"/>
  <c r="H19" i="8"/>
  <c r="H15" i="8"/>
  <c r="H11" i="8"/>
  <c r="H7" i="8"/>
  <c r="J11" i="9" l="1"/>
  <c r="F6" i="9"/>
  <c r="H30" i="9"/>
  <c r="F19" i="9"/>
  <c r="H24" i="9"/>
  <c r="H33" i="9"/>
  <c r="J31" i="9"/>
  <c r="J3" i="9"/>
  <c r="J19" i="9"/>
  <c r="H12" i="9"/>
  <c r="E23" i="9"/>
  <c r="E11" i="9"/>
  <c r="E5" i="9"/>
  <c r="F26" i="9"/>
  <c r="E8" i="9"/>
  <c r="H4" i="9"/>
  <c r="H10" i="9"/>
  <c r="H11" i="9"/>
  <c r="F24" i="9"/>
  <c r="E22" i="9"/>
  <c r="E9" i="9"/>
  <c r="E33" i="9"/>
  <c r="F5" i="9"/>
  <c r="E27" i="9"/>
  <c r="E19" i="9"/>
  <c r="E24" i="9"/>
  <c r="E7" i="9"/>
  <c r="F27" i="9"/>
  <c r="F32" i="9"/>
  <c r="J13" i="9"/>
  <c r="J7" i="9"/>
  <c r="J17" i="9"/>
  <c r="H7" i="9"/>
  <c r="J23" i="9"/>
  <c r="J5" i="9"/>
  <c r="J15" i="9"/>
  <c r="F22" i="9"/>
  <c r="F13" i="9"/>
  <c r="F10" i="9"/>
  <c r="F30" i="9"/>
  <c r="F33" i="9"/>
  <c r="F29" i="9"/>
  <c r="F2" i="9"/>
  <c r="F12" i="9"/>
  <c r="F16" i="9"/>
  <c r="F3" i="9"/>
  <c r="H5" i="9"/>
  <c r="H13" i="9"/>
  <c r="J33" i="9"/>
  <c r="J21" i="9"/>
  <c r="J10" i="9"/>
  <c r="J28" i="9"/>
  <c r="J12" i="9"/>
  <c r="J30" i="9"/>
  <c r="J8" i="9"/>
  <c r="H21" i="9"/>
  <c r="J6" i="9"/>
  <c r="F4" i="9"/>
  <c r="J4" i="9"/>
  <c r="F31" i="9"/>
  <c r="F20" i="9"/>
  <c r="F18" i="9"/>
  <c r="F7" i="9"/>
  <c r="H8" i="9"/>
  <c r="H6" i="9"/>
  <c r="H28" i="9"/>
  <c r="H27" i="9"/>
  <c r="H2" i="9"/>
  <c r="J32" i="9"/>
  <c r="J20" i="9"/>
  <c r="J2" i="9"/>
  <c r="H18" i="9"/>
  <c r="E31" i="9"/>
  <c r="E20" i="9"/>
  <c r="E29" i="9"/>
  <c r="F21" i="9"/>
  <c r="H9" i="9"/>
  <c r="H23" i="9"/>
  <c r="E15" i="9"/>
  <c r="F28" i="9"/>
  <c r="E26" i="9"/>
  <c r="E3" i="9"/>
  <c r="E12" i="9"/>
  <c r="E28" i="9"/>
  <c r="E17" i="9"/>
  <c r="E4" i="9"/>
  <c r="F15" i="9"/>
  <c r="F8" i="9"/>
  <c r="H26" i="9"/>
  <c r="H25" i="9"/>
  <c r="H3" i="9"/>
  <c r="J24" i="9"/>
  <c r="J16" i="9"/>
  <c r="H14" i="9"/>
  <c r="F17" i="9"/>
  <c r="F25" i="9"/>
  <c r="F14" i="9"/>
  <c r="F23" i="9"/>
  <c r="H29" i="9"/>
  <c r="F9" i="9"/>
  <c r="F11" i="9"/>
  <c r="H32" i="9"/>
  <c r="H31" i="9"/>
  <c r="H15" i="9"/>
  <c r="H22" i="9"/>
  <c r="H17" i="9"/>
  <c r="H20" i="9"/>
  <c r="J18" i="9"/>
  <c r="J22" i="9"/>
  <c r="J9" i="9"/>
  <c r="J25" i="9"/>
  <c r="J26" i="9"/>
  <c r="I27" i="4"/>
  <c r="J29" i="9"/>
  <c r="J14" i="9"/>
  <c r="I15" i="8"/>
  <c r="I31" i="8"/>
  <c r="I17" i="6"/>
  <c r="I15" i="6"/>
  <c r="I33" i="6"/>
  <c r="I12" i="6"/>
  <c r="I22" i="6"/>
  <c r="I29" i="6"/>
  <c r="I13" i="6"/>
  <c r="I27" i="6"/>
  <c r="I3" i="6"/>
  <c r="I20" i="6"/>
  <c r="I28" i="6"/>
  <c r="I6" i="6"/>
  <c r="I25" i="6"/>
  <c r="I9" i="6"/>
  <c r="I19" i="6"/>
  <c r="I32" i="6"/>
  <c r="I16" i="6"/>
  <c r="I21" i="6"/>
  <c r="I5" i="6"/>
  <c r="I16" i="4"/>
  <c r="I13" i="4"/>
  <c r="I9" i="4"/>
  <c r="I24" i="4"/>
  <c r="I12" i="4"/>
  <c r="I4" i="4"/>
  <c r="I28" i="4"/>
  <c r="I32" i="4"/>
  <c r="I25" i="4"/>
  <c r="I11" i="4"/>
  <c r="I20" i="4"/>
  <c r="I31" i="4"/>
  <c r="I19" i="4"/>
  <c r="I5" i="4"/>
  <c r="I21" i="4"/>
  <c r="I15" i="4"/>
  <c r="I17" i="4"/>
  <c r="I7" i="4"/>
  <c r="I23" i="4"/>
  <c r="I8" i="4"/>
  <c r="I10" i="8"/>
  <c r="I7" i="6"/>
  <c r="I8" i="6"/>
  <c r="I2" i="6"/>
  <c r="I4" i="6"/>
  <c r="I24" i="6"/>
  <c r="I31" i="6"/>
  <c r="I18" i="6"/>
  <c r="I23" i="6"/>
  <c r="I11" i="6"/>
  <c r="I30" i="6"/>
  <c r="I14" i="6"/>
  <c r="I26" i="6"/>
  <c r="I10" i="6"/>
  <c r="I33" i="4"/>
  <c r="I22" i="4"/>
  <c r="I13" i="8"/>
  <c r="I3" i="8"/>
  <c r="I7" i="8"/>
  <c r="I23" i="8"/>
  <c r="I8" i="8"/>
  <c r="I24" i="8"/>
  <c r="I21" i="8"/>
  <c r="I5" i="8"/>
  <c r="I6" i="8"/>
  <c r="I4" i="8"/>
  <c r="I32" i="8"/>
  <c r="I18" i="8"/>
  <c r="I19" i="8"/>
  <c r="I20" i="8"/>
  <c r="I11" i="8"/>
  <c r="I27" i="8"/>
  <c r="I12" i="8"/>
  <c r="I28" i="8"/>
  <c r="I9" i="8"/>
  <c r="I25" i="8"/>
  <c r="I14" i="8"/>
  <c r="I16" i="8"/>
  <c r="I29" i="8"/>
  <c r="I30" i="8"/>
  <c r="I17" i="8"/>
  <c r="I33" i="8"/>
  <c r="I2" i="8"/>
  <c r="I22" i="8"/>
  <c r="I26" i="8"/>
  <c r="I14" i="4"/>
  <c r="I29" i="4"/>
  <c r="I18" i="4"/>
  <c r="G18" i="9" s="1"/>
  <c r="I3" i="4"/>
  <c r="I6" i="4"/>
  <c r="I26" i="4"/>
  <c r="I10" i="4"/>
  <c r="G10" i="9" s="1"/>
  <c r="O10" i="9" s="1"/>
  <c r="I2" i="4"/>
  <c r="I30" i="4"/>
  <c r="G30" i="9" s="1"/>
  <c r="O30" i="9" s="1"/>
  <c r="I6" i="2"/>
  <c r="I10" i="2"/>
  <c r="D10" i="9" s="1"/>
  <c r="N10" i="9" s="1"/>
  <c r="I26" i="2"/>
  <c r="D26" i="9" s="1"/>
  <c r="I16" i="2"/>
  <c r="I13" i="2"/>
  <c r="I29" i="2"/>
  <c r="I4" i="2"/>
  <c r="I27" i="2"/>
  <c r="D27" i="9" s="1"/>
  <c r="I14" i="2"/>
  <c r="I30" i="2"/>
  <c r="I12" i="2"/>
  <c r="I32" i="2"/>
  <c r="I17" i="2"/>
  <c r="D17" i="9" s="1"/>
  <c r="I33" i="2"/>
  <c r="I20" i="2"/>
  <c r="I8" i="2"/>
  <c r="I18" i="2"/>
  <c r="I15" i="2"/>
  <c r="I28" i="2"/>
  <c r="I5" i="2"/>
  <c r="D5" i="9" s="1"/>
  <c r="N5" i="9" s="1"/>
  <c r="I21" i="2"/>
  <c r="I11" i="2"/>
  <c r="I7" i="2"/>
  <c r="I24" i="2"/>
  <c r="I22" i="2"/>
  <c r="I31" i="2"/>
  <c r="I2" i="2"/>
  <c r="I9" i="2"/>
  <c r="D9" i="9" s="1"/>
  <c r="I25" i="2"/>
  <c r="I23" i="2"/>
  <c r="I19" i="2"/>
  <c r="D19" i="9" s="1"/>
  <c r="N19" i="9" s="1"/>
  <c r="I3" i="2"/>
  <c r="D3" i="9" s="1"/>
  <c r="D29" i="9" l="1"/>
  <c r="N29" i="9" s="1"/>
  <c r="G33" i="9"/>
  <c r="O33" i="9" s="1"/>
  <c r="G5" i="9"/>
  <c r="O5" i="9" s="1"/>
  <c r="G13" i="9"/>
  <c r="O13" i="9" s="1"/>
  <c r="G19" i="9"/>
  <c r="O19" i="9" s="1"/>
  <c r="D15" i="9"/>
  <c r="N15" i="9" s="1"/>
  <c r="D33" i="9"/>
  <c r="N33" i="9" s="1"/>
  <c r="D30" i="9"/>
  <c r="N30" i="9" s="1"/>
  <c r="D22" i="9"/>
  <c r="N22" i="9" s="1"/>
  <c r="D18" i="9"/>
  <c r="D13" i="9"/>
  <c r="N13" i="9" s="1"/>
  <c r="D6" i="9"/>
  <c r="N6" i="9" s="1"/>
  <c r="G27" i="9"/>
  <c r="O27" i="9" s="1"/>
  <c r="D31" i="9"/>
  <c r="N31" i="9" s="1"/>
  <c r="D21" i="9"/>
  <c r="N21" i="9" s="1"/>
  <c r="D14" i="9"/>
  <c r="N14" i="9" s="1"/>
  <c r="D11" i="9"/>
  <c r="N11" i="9" s="1"/>
  <c r="D32" i="9"/>
  <c r="N32" i="9" s="1"/>
  <c r="D16" i="9"/>
  <c r="N16" i="9" s="1"/>
  <c r="D23" i="9"/>
  <c r="N23" i="9" s="1"/>
  <c r="D25" i="9"/>
  <c r="N25" i="9" s="1"/>
  <c r="D24" i="9"/>
  <c r="N24" i="9" s="1"/>
  <c r="D8" i="9"/>
  <c r="N8" i="9" s="1"/>
  <c r="D2" i="9"/>
  <c r="N2" i="9" s="1"/>
  <c r="D7" i="9"/>
  <c r="N7" i="9" s="1"/>
  <c r="D28" i="9"/>
  <c r="N28" i="9" s="1"/>
  <c r="D20" i="9"/>
  <c r="N20" i="9" s="1"/>
  <c r="D12" i="9"/>
  <c r="N12" i="9" s="1"/>
  <c r="D4" i="9"/>
  <c r="N4" i="9" s="1"/>
  <c r="G9" i="9"/>
  <c r="O9" i="9" s="1"/>
  <c r="G25" i="9"/>
  <c r="O25" i="9" s="1"/>
  <c r="G2" i="9"/>
  <c r="O2" i="9" s="1"/>
  <c r="G3" i="9"/>
  <c r="O3" i="9" s="1"/>
  <c r="G7" i="9"/>
  <c r="O7" i="9" s="1"/>
  <c r="G11" i="9"/>
  <c r="O11" i="9" s="1"/>
  <c r="G4" i="9"/>
  <c r="O4" i="9" s="1"/>
  <c r="G22" i="9"/>
  <c r="O22" i="9" s="1"/>
  <c r="G17" i="9"/>
  <c r="O17" i="9" s="1"/>
  <c r="G12" i="9"/>
  <c r="O12" i="9" s="1"/>
  <c r="G16" i="9"/>
  <c r="O16" i="9" s="1"/>
  <c r="G26" i="9"/>
  <c r="O26" i="9" s="1"/>
  <c r="G29" i="9"/>
  <c r="O29" i="9" s="1"/>
  <c r="G8" i="9"/>
  <c r="O8" i="9" s="1"/>
  <c r="G15" i="9"/>
  <c r="O15" i="9" s="1"/>
  <c r="G31" i="9"/>
  <c r="O31" i="9" s="1"/>
  <c r="G32" i="9"/>
  <c r="O32" i="9" s="1"/>
  <c r="G24" i="9"/>
  <c r="O24" i="9" s="1"/>
  <c r="G6" i="9"/>
  <c r="O6" i="9" s="1"/>
  <c r="G14" i="9"/>
  <c r="O14" i="9" s="1"/>
  <c r="G23" i="9"/>
  <c r="O23" i="9" s="1"/>
  <c r="G21" i="9"/>
  <c r="O21" i="9" s="1"/>
  <c r="G20" i="9"/>
  <c r="O20" i="9" s="1"/>
  <c r="G28" i="9"/>
  <c r="O28" i="9" s="1"/>
  <c r="N18" i="9"/>
  <c r="N17" i="9"/>
  <c r="N3" i="9"/>
  <c r="N9" i="9"/>
  <c r="N27" i="9"/>
  <c r="O18" i="9"/>
  <c r="N26" i="9"/>
</calcChain>
</file>

<file path=xl/sharedStrings.xml><?xml version="1.0" encoding="utf-8"?>
<sst xmlns="http://schemas.openxmlformats.org/spreadsheetml/2006/main" count="2750" uniqueCount="317">
  <si>
    <t>Team</t>
  </si>
  <si>
    <t>Att</t>
  </si>
  <si>
    <t>Cmp</t>
  </si>
  <si>
    <t>Cmp %</t>
  </si>
  <si>
    <t>Yds/Att</t>
  </si>
  <si>
    <t>Pass Yds</t>
  </si>
  <si>
    <t>TD</t>
  </si>
  <si>
    <t>INT</t>
  </si>
  <si>
    <t>Rate</t>
  </si>
  <si>
    <t>1st</t>
  </si>
  <si>
    <t>1st%</t>
  </si>
  <si>
    <t>20+</t>
  </si>
  <si>
    <t>40+</t>
  </si>
  <si>
    <t>Lng</t>
  </si>
  <si>
    <t>Sck</t>
  </si>
  <si>
    <t>SckY</t>
  </si>
  <si>
    <t>49ers</t>
  </si>
  <si>
    <t>79T</t>
  </si>
  <si>
    <t>Bears</t>
  </si>
  <si>
    <t>Bengals</t>
  </si>
  <si>
    <t>70T</t>
  </si>
  <si>
    <t>Bills</t>
  </si>
  <si>
    <t>Broncos</t>
  </si>
  <si>
    <t>Browns</t>
  </si>
  <si>
    <t>71T</t>
  </si>
  <si>
    <t>Buccaneers</t>
  </si>
  <si>
    <t>62T</t>
  </si>
  <si>
    <t>Cardinals</t>
  </si>
  <si>
    <t>77T</t>
  </si>
  <si>
    <t>Chargers</t>
  </si>
  <si>
    <t>72T</t>
  </si>
  <si>
    <t>Chiefs</t>
  </si>
  <si>
    <t>75T</t>
  </si>
  <si>
    <t>Colts</t>
  </si>
  <si>
    <t>76T</t>
  </si>
  <si>
    <t>Cowboys</t>
  </si>
  <si>
    <t>49T</t>
  </si>
  <si>
    <t>Dolphins</t>
  </si>
  <si>
    <t>Eagles</t>
  </si>
  <si>
    <t>Falcons</t>
  </si>
  <si>
    <t>Football Team</t>
  </si>
  <si>
    <t>73T</t>
  </si>
  <si>
    <t>Giants</t>
  </si>
  <si>
    <t>54T</t>
  </si>
  <si>
    <t>Jaguars</t>
  </si>
  <si>
    <t>Jets</t>
  </si>
  <si>
    <t>Lions</t>
  </si>
  <si>
    <t>Packers</t>
  </si>
  <si>
    <t>Panthers</t>
  </si>
  <si>
    <t>57T</t>
  </si>
  <si>
    <t>Patriots</t>
  </si>
  <si>
    <t>Raiders</t>
  </si>
  <si>
    <t>61T</t>
  </si>
  <si>
    <t>Rams</t>
  </si>
  <si>
    <t>Ravens</t>
  </si>
  <si>
    <t>Saints</t>
  </si>
  <si>
    <t>Seahawks</t>
  </si>
  <si>
    <t>69T</t>
  </si>
  <si>
    <t>Steelers</t>
  </si>
  <si>
    <t>Texans</t>
  </si>
  <si>
    <t>67T</t>
  </si>
  <si>
    <t>Titans</t>
  </si>
  <si>
    <t>Vikings</t>
  </si>
  <si>
    <t>64T</t>
  </si>
  <si>
    <t>Rush Yds</t>
  </si>
  <si>
    <t>YPC</t>
  </si>
  <si>
    <t>Rush 1st</t>
  </si>
  <si>
    <t>Rush 1st%</t>
  </si>
  <si>
    <t>Rush FUM</t>
  </si>
  <si>
    <t>46T</t>
  </si>
  <si>
    <t>52T</t>
  </si>
  <si>
    <t>24T</t>
  </si>
  <si>
    <t>35T</t>
  </si>
  <si>
    <t>23T</t>
  </si>
  <si>
    <t>60T</t>
  </si>
  <si>
    <t>Yds</t>
  </si>
  <si>
    <t>68T</t>
  </si>
  <si>
    <t>Offensive Team</t>
  </si>
  <si>
    <t>Defensive Team</t>
  </si>
  <si>
    <t>Rank</t>
  </si>
  <si>
    <t>+4.5</t>
  </si>
  <si>
    <t>-3.5</t>
  </si>
  <si>
    <t>-5.5</t>
  </si>
  <si>
    <t>Spread</t>
  </si>
  <si>
    <t>-3</t>
  </si>
  <si>
    <t>-6.5</t>
  </si>
  <si>
    <t>+3</t>
  </si>
  <si>
    <t>-9</t>
  </si>
  <si>
    <t>+6.5</t>
  </si>
  <si>
    <t>+9.5</t>
  </si>
  <si>
    <t>+3.5</t>
  </si>
  <si>
    <t>-4.5</t>
  </si>
  <si>
    <t>+1.5</t>
  </si>
  <si>
    <t>-9.5</t>
  </si>
  <si>
    <t>+5</t>
  </si>
  <si>
    <t>-5</t>
  </si>
  <si>
    <t>+9</t>
  </si>
  <si>
    <t>+5.5</t>
  </si>
  <si>
    <t>-1.5</t>
  </si>
  <si>
    <t>Rec</t>
  </si>
  <si>
    <t>Yds/Rec</t>
  </si>
  <si>
    <t>Rec 1st</t>
  </si>
  <si>
    <t>Rec 1st%</t>
  </si>
  <si>
    <t>Rec FUM</t>
  </si>
  <si>
    <t>PDef</t>
  </si>
  <si>
    <t>Josh Jacobs u52.5 -110</t>
  </si>
  <si>
    <t>James Robinson o73.5 -120</t>
  </si>
  <si>
    <t>Javonte Williams o44.5 -120</t>
  </si>
  <si>
    <t xml:space="preserve"> </t>
  </si>
  <si>
    <t>Lamar Jackson o68.5 -120</t>
  </si>
  <si>
    <t>Mark Ingram u34.5 -120</t>
  </si>
  <si>
    <t>Davis Mills o209.5 -115</t>
  </si>
  <si>
    <t>Passing YPA</t>
  </si>
  <si>
    <t>Rushing YPC</t>
  </si>
  <si>
    <t>Pass Comp%</t>
  </si>
  <si>
    <t>Pass Att</t>
  </si>
  <si>
    <t>Rush Att</t>
  </si>
  <si>
    <t>Pass Yds Bet</t>
  </si>
  <si>
    <t>Rush TDs</t>
  </si>
  <si>
    <t>Pass TDs</t>
  </si>
  <si>
    <t>Notes</t>
  </si>
  <si>
    <t>16/27 - 174yds</t>
  </si>
  <si>
    <t>19/29 - 271yds</t>
  </si>
  <si>
    <t>21 rushes - 103yds</t>
  </si>
  <si>
    <t>22/39 - 195yds</t>
  </si>
  <si>
    <t>2 PTDs</t>
  </si>
  <si>
    <t>32/47 - 397yds - 2PTDs</t>
  </si>
  <si>
    <t>14 rushes - 65 yds; 2 PTDs</t>
  </si>
  <si>
    <t>36/51; 27 rushes</t>
  </si>
  <si>
    <t>17 rushes - 55yds</t>
  </si>
  <si>
    <t>12/26; 9 rushes</t>
  </si>
  <si>
    <t>29/51 - 242yds - 0PTDs</t>
  </si>
  <si>
    <t>17 rushes - 73yds - 1TD</t>
  </si>
  <si>
    <t>28/42 - 202yds</t>
  </si>
  <si>
    <t>0 rush TDs</t>
  </si>
  <si>
    <t>1 PTD</t>
  </si>
  <si>
    <t>15/21 - 229yds; 24 rushes - 123yds - 2TDs</t>
  </si>
  <si>
    <t>18/27 - 341yds; 21 rushes - 87yds</t>
  </si>
  <si>
    <t>22/28 - 251yds - 4PTDs</t>
  </si>
  <si>
    <t>35/47 - 353yds; 13 rushes - 51yds - 0TDs</t>
  </si>
  <si>
    <t>19/27; 37 rushes - 176yds</t>
  </si>
  <si>
    <t>23/32 - 209yds</t>
  </si>
  <si>
    <t>29/40 - 229yds</t>
  </si>
  <si>
    <t>29/43 - 243 yds - 0PTDs; 27 rushes - 119yds - 0TDs</t>
  </si>
  <si>
    <t>18/29 - 216yds - 0PTDs</t>
  </si>
  <si>
    <t>33/48 - 373yds; 1 rush TD</t>
  </si>
  <si>
    <t/>
  </si>
  <si>
    <t>OVER</t>
  </si>
  <si>
    <t>UNDER</t>
  </si>
  <si>
    <t>-4.0</t>
  </si>
  <si>
    <t>+12.5</t>
  </si>
  <si>
    <t>-12.5</t>
  </si>
  <si>
    <t>-17.5</t>
  </si>
  <si>
    <t>+4.0</t>
  </si>
  <si>
    <t>+2.5</t>
  </si>
  <si>
    <t>+3.0</t>
  </si>
  <si>
    <t>-2.5</t>
  </si>
  <si>
    <t>+7.5</t>
  </si>
  <si>
    <t>+7.0</t>
  </si>
  <si>
    <t>+16.0</t>
  </si>
  <si>
    <t>-7.5</t>
  </si>
  <si>
    <t>-3.0</t>
  </si>
  <si>
    <t>-7.0</t>
  </si>
  <si>
    <t>-16.0</t>
  </si>
  <si>
    <t>+17.5</t>
  </si>
  <si>
    <t>2 PTDs; 0 rush TDs</t>
  </si>
  <si>
    <t>21/33 - 199yds - 1PTD</t>
  </si>
  <si>
    <t>Joe Mixon u59.5 -120</t>
  </si>
  <si>
    <t>If Bengals are gonna have success its gonna be with the pass. Ravens held talented running backs in 2 prior games. Game Script</t>
  </si>
  <si>
    <t>James Conner TD -140</t>
  </si>
  <si>
    <t>James Conner o53.5 -115</t>
  </si>
  <si>
    <t>Game Script, Texans have allowed 11 rush TDs through 6 weeks, Cardinals may not run a lot of plays because they'll be so efficient, but should be able to get chunk yardage</t>
  </si>
  <si>
    <t>Pace</t>
  </si>
  <si>
    <t>GMs</t>
  </si>
  <si>
    <t>TD/gm</t>
  </si>
  <si>
    <t>Att/gm</t>
  </si>
  <si>
    <t>Yds/gm</t>
  </si>
  <si>
    <t>Slightly above average pace, he throws a lot even in blowouts, they may struggle to run efficiently</t>
  </si>
  <si>
    <t>Patrick Mahomes o324.5 -115</t>
  </si>
  <si>
    <t>Patrick Mahomes o18.5 -120</t>
  </si>
  <si>
    <t>Darrel Williams o57.5 -115</t>
  </si>
  <si>
    <t>Jerick McKinnon o8.5 -125</t>
  </si>
  <si>
    <t>High total, high pace, should move ball efficiently, Clyde hurt, Mahomes has gone over 18.5 consistently</t>
  </si>
  <si>
    <t>Jonathan Taylor TD -115</t>
  </si>
  <si>
    <t>4 TDs in last 3 games, offense starting to click, will look to him near the endzone</t>
  </si>
  <si>
    <t>Total</t>
  </si>
  <si>
    <t>Tua Tagovailoa o35.5 att -114</t>
  </si>
  <si>
    <t>Myles Gaskin u31.5 yds -114</t>
  </si>
  <si>
    <t>Good pace, game script should slightly favor pass, in close game with Jaguars Tua threw 47 times. Gaskin sharing backfield and has been ineffective</t>
  </si>
  <si>
    <t>Miles Sanders o61.5 yds -114</t>
  </si>
  <si>
    <t>Kenneth Gainwell o10.5 yds -114</t>
  </si>
  <si>
    <t>Jalen Hurts u246.5 yds -114</t>
  </si>
  <si>
    <t xml:space="preserve">While Eagles have been pass heavy, this week they get a defense that is much better against the pass than the run. </t>
  </si>
  <si>
    <t>Tom Brady o25.5 cmp -130</t>
  </si>
  <si>
    <t>Matt Ryan o35.5 att -114</t>
  </si>
  <si>
    <t>Good pace, only failed to clear this amount once in the first game of the season (missed by 1 att). Has cleared in both games they won</t>
  </si>
  <si>
    <t>Taylor Heinicke u237.5 yds -114</t>
  </si>
  <si>
    <t>*only play if gibson is active*</t>
  </si>
  <si>
    <t>Slightly slow pace, good Packers secondary is 4th best in terms of yds/att. Only cleared this comfortably in wins. Banged up WRs and chance to get benched if Fitz can go</t>
  </si>
  <si>
    <t>Daniel Jones o33.5 att -114</t>
  </si>
  <si>
    <t>Devontae Booker u54.5 yds -113</t>
  </si>
  <si>
    <t>Decent pace, despite the Panther's good pass defense I think the Giants will still try to pass with Saquan out. Booker will split some carries</t>
  </si>
  <si>
    <t>Zach Wilson u19.5 cmp -122</t>
  </si>
  <si>
    <t>Ty Johnson u13.5 yds -108</t>
  </si>
  <si>
    <t>Slow pace, Wilson should have a low comp%, ty johnson declining run share vs. a good run defense</t>
  </si>
  <si>
    <t>Jared Goff o25.5 cmp -114</t>
  </si>
  <si>
    <t>Coach wants Goff to step up, Daniel Jones was 29/51 last week</t>
  </si>
  <si>
    <t>Chuba Hubbard o73.5</t>
  </si>
  <si>
    <t>Coach said he's gonna run Hubbard, Giants weak run defense, good pace, game script possible to help</t>
  </si>
  <si>
    <t>Mac Jones o22.5 cmp -102</t>
  </si>
  <si>
    <t>under passing attempts</t>
  </si>
  <si>
    <t>under rushing yards</t>
  </si>
  <si>
    <t>Alex Collins u46.5 yds -115</t>
  </si>
  <si>
    <t>Jameis Winston u26.5 att -110</t>
  </si>
  <si>
    <t>Only gone over this total once this season (last week, highest total score of season). Low total, low pace, they will look to pound the rock and keep the ball</t>
  </si>
  <si>
    <t>#1 run defense knows that the Seahawks will try to run with Geno Smith at QB. Low pace, low total, Collins a little banged up already and sharing the backfield</t>
  </si>
  <si>
    <t>https://www.nfl.com/stats/team-stats/offense/passing/2021/reg/all</t>
  </si>
  <si>
    <t>https://www.nfl.com/stats/team-stats/offense/rushing/2021/reg/all</t>
  </si>
  <si>
    <t>https://www.nfl.com/stats/team-stats/defense/passing/2021/reg/all</t>
  </si>
  <si>
    <t>https://www.nfl.com/stats/team-stats/defense/receiving/2021/reg/all</t>
  </si>
  <si>
    <t>https://www.nfl.com/stats/team-stats/defense/rushing/2021/reg/all</t>
  </si>
  <si>
    <t>6-1</t>
  </si>
  <si>
    <t>8-10</t>
  </si>
  <si>
    <t>Bet #1</t>
  </si>
  <si>
    <t>Bet #2</t>
  </si>
  <si>
    <t>Bet #3</t>
  </si>
  <si>
    <t>Win?</t>
  </si>
  <si>
    <t>-10</t>
  </si>
  <si>
    <t>+1</t>
  </si>
  <si>
    <t>+10</t>
  </si>
  <si>
    <t>-14.5</t>
  </si>
  <si>
    <t>+14.5</t>
  </si>
  <si>
    <t>-1</t>
  </si>
  <si>
    <t>82T</t>
  </si>
  <si>
    <t>63T</t>
  </si>
  <si>
    <t>84T</t>
  </si>
  <si>
    <t>19T</t>
  </si>
  <si>
    <t>-6</t>
  </si>
  <si>
    <t>+6</t>
  </si>
  <si>
    <t>-2</t>
  </si>
  <si>
    <t>+2</t>
  </si>
  <si>
    <t>J. Taylor 1 or 2 TDs</t>
  </si>
  <si>
    <t>Jets look to pass, especially on goal line - under rsh</t>
  </si>
  <si>
    <t>49ers face tough pass defense but soft run defense</t>
  </si>
  <si>
    <t>Under rushing yards</t>
  </si>
  <si>
    <t>-13</t>
  </si>
  <si>
    <t>+13</t>
  </si>
  <si>
    <t>-8.5</t>
  </si>
  <si>
    <t>+8.5</t>
  </si>
  <si>
    <t>78T</t>
  </si>
  <si>
    <t>TEAM</t>
  </si>
  <si>
    <t>ARI</t>
  </si>
  <si>
    <t>@TEN</t>
  </si>
  <si>
    <t>MIN</t>
  </si>
  <si>
    <t>@JAX</t>
  </si>
  <si>
    <t>@LAR</t>
  </si>
  <si>
    <t>SF</t>
  </si>
  <si>
    <t>@CLE</t>
  </si>
  <si>
    <t>HOU</t>
  </si>
  <si>
    <t>GB</t>
  </si>
  <si>
    <t>@SF</t>
  </si>
  <si>
    <t>CAR</t>
  </si>
  <si>
    <t>@SEA</t>
  </si>
  <si>
    <t>BYE</t>
  </si>
  <si>
    <t>@CHI</t>
  </si>
  <si>
    <t>LAR</t>
  </si>
  <si>
    <t>@DET</t>
  </si>
  <si>
    <t>IND</t>
  </si>
  <si>
    <t>@DAL</t>
  </si>
  <si>
    <t>SEA</t>
  </si>
  <si>
    <t>ATL</t>
  </si>
  <si>
    <t>PHI</t>
  </si>
  <si>
    <t>@TB</t>
  </si>
  <si>
    <t>@NYG</t>
  </si>
  <si>
    <t>WSH</t>
  </si>
  <si>
    <t>NYJ</t>
  </si>
  <si>
    <t>@MIA</t>
  </si>
  <si>
    <t>@NO</t>
  </si>
  <si>
    <t>NE</t>
  </si>
  <si>
    <t>TB</t>
  </si>
  <si>
    <t>@CAR</t>
  </si>
  <si>
    <t>DET</t>
  </si>
  <si>
    <t>@BUF</t>
  </si>
  <si>
    <t>NO</t>
  </si>
  <si>
    <t>BAL</t>
  </si>
  <si>
    <t>@LV</t>
  </si>
  <si>
    <t>KC</t>
  </si>
  <si>
    <t>@DEN</t>
  </si>
  <si>
    <t>LAC</t>
  </si>
  <si>
    <t>CIN</t>
  </si>
  <si>
    <t>CLE</t>
  </si>
  <si>
    <t>@PIT</t>
  </si>
  <si>
    <t>@CIN</t>
  </si>
  <si>
    <t>PIT</t>
  </si>
  <si>
    <t>BUF</t>
  </si>
  <si>
    <t>@KC</t>
  </si>
  <si>
    <t>MIA</t>
  </si>
  <si>
    <t>@NYJ</t>
  </si>
  <si>
    <t>@NE</t>
  </si>
  <si>
    <t>@HOU</t>
  </si>
  <si>
    <t>@ATL</t>
  </si>
  <si>
    <t>@ARI</t>
  </si>
  <si>
    <t>CHI</t>
  </si>
  <si>
    <t>@GB</t>
  </si>
  <si>
    <t>NYG</t>
  </si>
  <si>
    <t>@MIN</t>
  </si>
  <si>
    <t>JAX</t>
  </si>
  <si>
    <t>@BAL</t>
  </si>
  <si>
    <t>@LAC</t>
  </si>
  <si>
    <t>DEN</t>
  </si>
  <si>
    <t>LV</t>
  </si>
  <si>
    <t>DAL</t>
  </si>
  <si>
    <t>@WSH</t>
  </si>
  <si>
    <t>@PHI</t>
  </si>
  <si>
    <t>@IND</t>
  </si>
  <si>
    <t>TEN</t>
  </si>
  <si>
    <t>@NY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</si>
</sst>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151515"/>
      <name val="Helvetica"/>
      <family val="2"/>
    </font>
    <font>
      <sz val="12"/>
      <color rgb="FF333333"/>
      <name val="Helvetica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1"/>
      <color rgb="FF444444"/>
      <name val="Verdana"/>
      <family val="2"/>
    </font>
    <font>
      <sz val="11"/>
      <color rgb="FF000000"/>
      <name val="Verdana"/>
      <family val="2"/>
    </font>
    <font>
      <sz val="11"/>
      <color rgb="FFC1C1C1"/>
      <name val="Verdan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1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0" borderId="0" xfId="0" applyFont="1" applyAlignment="1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4" fillId="0" borderId="5" xfId="0" applyFon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5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0" fontId="1" fillId="3" borderId="0" xfId="0" applyFont="1" applyFill="1"/>
    <xf numFmtId="0" fontId="0" fillId="3" borderId="0" xfId="0" applyFill="1"/>
    <xf numFmtId="0" fontId="1" fillId="0" borderId="0" xfId="0" applyFont="1" applyFill="1"/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center"/>
    </xf>
    <xf numFmtId="0" fontId="6" fillId="0" borderId="0" xfId="1"/>
    <xf numFmtId="0" fontId="4" fillId="0" borderId="0" xfId="0" applyFont="1" applyFill="1" applyAlignment="1"/>
    <xf numFmtId="0" fontId="0" fillId="0" borderId="0" xfId="0" applyFill="1"/>
    <xf numFmtId="0" fontId="0" fillId="0" borderId="7" xfId="0" applyFont="1" applyFill="1" applyBorder="1" applyAlignment="1">
      <alignment horizontal="center"/>
    </xf>
    <xf numFmtId="0" fontId="7" fillId="0" borderId="0" xfId="0" applyFont="1"/>
    <xf numFmtId="0" fontId="9" fillId="0" borderId="0" xfId="0" applyFont="1"/>
    <xf numFmtId="0" fontId="8" fillId="0" borderId="0" xfId="0" applyFont="1"/>
    <xf numFmtId="0" fontId="3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25" name="AutoShape 1">
          <a:extLst>
            <a:ext uri="{FF2B5EF4-FFF2-40B4-BE49-F238E27FC236}">
              <a16:creationId xmlns:a16="http://schemas.microsoft.com/office/drawing/2014/main" id="{7181F7D3-5845-6D45-91EE-2AC995D7693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26" name="AutoShape 2">
          <a:extLst>
            <a:ext uri="{FF2B5EF4-FFF2-40B4-BE49-F238E27FC236}">
              <a16:creationId xmlns:a16="http://schemas.microsoft.com/office/drawing/2014/main" id="{2C6B673E-F5F7-404A-A82B-04557A1521A4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27" name="AutoShape 3">
          <a:extLst>
            <a:ext uri="{FF2B5EF4-FFF2-40B4-BE49-F238E27FC236}">
              <a16:creationId xmlns:a16="http://schemas.microsoft.com/office/drawing/2014/main" id="{AE70C20F-2BD6-6B42-AF47-BDF920596E5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28" name="AutoShape 4">
          <a:extLst>
            <a:ext uri="{FF2B5EF4-FFF2-40B4-BE49-F238E27FC236}">
              <a16:creationId xmlns:a16="http://schemas.microsoft.com/office/drawing/2014/main" id="{51862082-58D5-704B-AE43-E3F51163BF3D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29" name="AutoShape 5">
          <a:extLst>
            <a:ext uri="{FF2B5EF4-FFF2-40B4-BE49-F238E27FC236}">
              <a16:creationId xmlns:a16="http://schemas.microsoft.com/office/drawing/2014/main" id="{E4B228E5-03EF-6748-AA62-F47E666E8EF7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30" name="AutoShape 6">
          <a:extLst>
            <a:ext uri="{FF2B5EF4-FFF2-40B4-BE49-F238E27FC236}">
              <a16:creationId xmlns:a16="http://schemas.microsoft.com/office/drawing/2014/main" id="{337F2D53-28B1-6942-B845-3E1BD109B642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31" name="AutoShape 7">
          <a:extLst>
            <a:ext uri="{FF2B5EF4-FFF2-40B4-BE49-F238E27FC236}">
              <a16:creationId xmlns:a16="http://schemas.microsoft.com/office/drawing/2014/main" id="{2568C7D4-0319-CE44-831D-CC19A3D73B70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32" name="AutoShape 8">
          <a:extLst>
            <a:ext uri="{FF2B5EF4-FFF2-40B4-BE49-F238E27FC236}">
              <a16:creationId xmlns:a16="http://schemas.microsoft.com/office/drawing/2014/main" id="{9C1BAF43-0941-6B4D-852C-84EB53EBCAE2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33" name="AutoShape 9">
          <a:extLst>
            <a:ext uri="{FF2B5EF4-FFF2-40B4-BE49-F238E27FC236}">
              <a16:creationId xmlns:a16="http://schemas.microsoft.com/office/drawing/2014/main" id="{91C8B431-85D6-3141-A2F8-7B70C5D738F5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34" name="AutoShape 10">
          <a:extLst>
            <a:ext uri="{FF2B5EF4-FFF2-40B4-BE49-F238E27FC236}">
              <a16:creationId xmlns:a16="http://schemas.microsoft.com/office/drawing/2014/main" id="{6734F632-B748-FE4E-ADAB-687F83157AFD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35" name="AutoShape 11">
          <a:extLst>
            <a:ext uri="{FF2B5EF4-FFF2-40B4-BE49-F238E27FC236}">
              <a16:creationId xmlns:a16="http://schemas.microsoft.com/office/drawing/2014/main" id="{5050422C-D28A-AD46-912C-73E27D106701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036" name="AutoShape 12">
          <a:extLst>
            <a:ext uri="{FF2B5EF4-FFF2-40B4-BE49-F238E27FC236}">
              <a16:creationId xmlns:a16="http://schemas.microsoft.com/office/drawing/2014/main" id="{72C1BEAA-2381-0048-AF2F-B73E42B1D2E7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B45665B9-3FA4-ED48-B799-5C282A3140BB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038" name="AutoShape 14">
          <a:extLst>
            <a:ext uri="{FF2B5EF4-FFF2-40B4-BE49-F238E27FC236}">
              <a16:creationId xmlns:a16="http://schemas.microsoft.com/office/drawing/2014/main" id="{978DBB95-83BC-A243-B005-877CE7C0F45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039" name="AutoShape 15">
          <a:extLst>
            <a:ext uri="{FF2B5EF4-FFF2-40B4-BE49-F238E27FC236}">
              <a16:creationId xmlns:a16="http://schemas.microsoft.com/office/drawing/2014/main" id="{22290360-1AC8-EA48-B325-238467904009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040" name="AutoShape 16">
          <a:extLst>
            <a:ext uri="{FF2B5EF4-FFF2-40B4-BE49-F238E27FC236}">
              <a16:creationId xmlns:a16="http://schemas.microsoft.com/office/drawing/2014/main" id="{A1B7D621-5E86-0343-887C-8082552DA8E2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041" name="AutoShape 17">
          <a:extLst>
            <a:ext uri="{FF2B5EF4-FFF2-40B4-BE49-F238E27FC236}">
              <a16:creationId xmlns:a16="http://schemas.microsoft.com/office/drawing/2014/main" id="{8498B7AF-C7B2-F546-9740-F1F58714C9CB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042" name="AutoShape 18">
          <a:extLst>
            <a:ext uri="{FF2B5EF4-FFF2-40B4-BE49-F238E27FC236}">
              <a16:creationId xmlns:a16="http://schemas.microsoft.com/office/drawing/2014/main" id="{F515AE76-8619-7946-A009-07101D7D2319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043" name="AutoShape 19">
          <a:extLst>
            <a:ext uri="{FF2B5EF4-FFF2-40B4-BE49-F238E27FC236}">
              <a16:creationId xmlns:a16="http://schemas.microsoft.com/office/drawing/2014/main" id="{546DF0D9-A8FA-2243-BA89-B17D3BF7561E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044" name="AutoShape 20">
          <a:extLst>
            <a:ext uri="{FF2B5EF4-FFF2-40B4-BE49-F238E27FC236}">
              <a16:creationId xmlns:a16="http://schemas.microsoft.com/office/drawing/2014/main" id="{C2ADA169-D6B4-3742-96FB-197D8D753F37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045" name="AutoShape 21">
          <a:extLst>
            <a:ext uri="{FF2B5EF4-FFF2-40B4-BE49-F238E27FC236}">
              <a16:creationId xmlns:a16="http://schemas.microsoft.com/office/drawing/2014/main" id="{3FFD3506-FADB-FB4C-BC68-1D12959FB5C1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046" name="AutoShape 22">
          <a:extLst>
            <a:ext uri="{FF2B5EF4-FFF2-40B4-BE49-F238E27FC236}">
              <a16:creationId xmlns:a16="http://schemas.microsoft.com/office/drawing/2014/main" id="{489CC3E0-84BE-F24B-B1D6-CE06BC45D57A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1F862C6F-F686-3147-A984-1504B922DAE7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C4B789DE-456C-514B-9DF1-8D1ECB2474A1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049" name="AutoShape 25">
          <a:extLst>
            <a:ext uri="{FF2B5EF4-FFF2-40B4-BE49-F238E27FC236}">
              <a16:creationId xmlns:a16="http://schemas.microsoft.com/office/drawing/2014/main" id="{395225D8-9C6B-A248-9AAF-5E0780BBE0C7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050" name="AutoShape 26">
          <a:extLst>
            <a:ext uri="{FF2B5EF4-FFF2-40B4-BE49-F238E27FC236}">
              <a16:creationId xmlns:a16="http://schemas.microsoft.com/office/drawing/2014/main" id="{9BCF31D0-0DAB-464A-A85F-B4F7A8BF034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051" name="AutoShape 27">
          <a:extLst>
            <a:ext uri="{FF2B5EF4-FFF2-40B4-BE49-F238E27FC236}">
              <a16:creationId xmlns:a16="http://schemas.microsoft.com/office/drawing/2014/main" id="{513FC9B2-524D-5147-92A4-D5AFC5365525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052" name="AutoShape 28">
          <a:extLst>
            <a:ext uri="{FF2B5EF4-FFF2-40B4-BE49-F238E27FC236}">
              <a16:creationId xmlns:a16="http://schemas.microsoft.com/office/drawing/2014/main" id="{4EA52452-44E6-7F4C-AF32-D78D91DD71A4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053" name="AutoShape 29">
          <a:extLst>
            <a:ext uri="{FF2B5EF4-FFF2-40B4-BE49-F238E27FC236}">
              <a16:creationId xmlns:a16="http://schemas.microsoft.com/office/drawing/2014/main" id="{F3BBCE1B-1622-B74C-A0D0-BC72324C482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054" name="AutoShape 30">
          <a:extLst>
            <a:ext uri="{FF2B5EF4-FFF2-40B4-BE49-F238E27FC236}">
              <a16:creationId xmlns:a16="http://schemas.microsoft.com/office/drawing/2014/main" id="{95D1C081-4C53-184F-AE45-41C19565D6D9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055" name="AutoShape 31">
          <a:extLst>
            <a:ext uri="{FF2B5EF4-FFF2-40B4-BE49-F238E27FC236}">
              <a16:creationId xmlns:a16="http://schemas.microsoft.com/office/drawing/2014/main" id="{EDBD0752-4C92-5E46-8C4E-E52EC833121D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056" name="AutoShape 32">
          <a:extLst>
            <a:ext uri="{FF2B5EF4-FFF2-40B4-BE49-F238E27FC236}">
              <a16:creationId xmlns:a16="http://schemas.microsoft.com/office/drawing/2014/main" id="{B2C79F5E-2EAB-8442-A41C-2D263F3A8F55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89" name="AutoShape 65">
          <a:extLst>
            <a:ext uri="{FF2B5EF4-FFF2-40B4-BE49-F238E27FC236}">
              <a16:creationId xmlns:a16="http://schemas.microsoft.com/office/drawing/2014/main" id="{13FDED7F-AEB9-C34E-9024-186A3EA601B8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90" name="AutoShape 66">
          <a:extLst>
            <a:ext uri="{FF2B5EF4-FFF2-40B4-BE49-F238E27FC236}">
              <a16:creationId xmlns:a16="http://schemas.microsoft.com/office/drawing/2014/main" id="{81F6D009-4BB1-7E4A-A3E1-5B3405A641CC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91" name="AutoShape 67">
          <a:extLst>
            <a:ext uri="{FF2B5EF4-FFF2-40B4-BE49-F238E27FC236}">
              <a16:creationId xmlns:a16="http://schemas.microsoft.com/office/drawing/2014/main" id="{3435705C-9130-5D4D-AFC7-EAB7688CE8F0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92" name="AutoShape 68">
          <a:extLst>
            <a:ext uri="{FF2B5EF4-FFF2-40B4-BE49-F238E27FC236}">
              <a16:creationId xmlns:a16="http://schemas.microsoft.com/office/drawing/2014/main" id="{122BE4C5-C4F7-E84F-9FD7-F3269A644C3A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93" name="AutoShape 69">
          <a:extLst>
            <a:ext uri="{FF2B5EF4-FFF2-40B4-BE49-F238E27FC236}">
              <a16:creationId xmlns:a16="http://schemas.microsoft.com/office/drawing/2014/main" id="{2270E079-6AD2-FB4C-A495-60A01C6158EC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94" name="AutoShape 70">
          <a:extLst>
            <a:ext uri="{FF2B5EF4-FFF2-40B4-BE49-F238E27FC236}">
              <a16:creationId xmlns:a16="http://schemas.microsoft.com/office/drawing/2014/main" id="{6AD44C79-9530-0E46-A113-E90AFA944124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95" name="AutoShape 71">
          <a:extLst>
            <a:ext uri="{FF2B5EF4-FFF2-40B4-BE49-F238E27FC236}">
              <a16:creationId xmlns:a16="http://schemas.microsoft.com/office/drawing/2014/main" id="{E62A0CAE-B528-3C46-A8E0-805BFB6D00F1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96" name="AutoShape 72">
          <a:extLst>
            <a:ext uri="{FF2B5EF4-FFF2-40B4-BE49-F238E27FC236}">
              <a16:creationId xmlns:a16="http://schemas.microsoft.com/office/drawing/2014/main" id="{7C8274A6-E55A-A543-8697-7C92C4CA6495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97" name="AutoShape 73">
          <a:extLst>
            <a:ext uri="{FF2B5EF4-FFF2-40B4-BE49-F238E27FC236}">
              <a16:creationId xmlns:a16="http://schemas.microsoft.com/office/drawing/2014/main" id="{25801FA9-09CE-0F40-B483-7E846C1A7120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98" name="AutoShape 74">
          <a:extLst>
            <a:ext uri="{FF2B5EF4-FFF2-40B4-BE49-F238E27FC236}">
              <a16:creationId xmlns:a16="http://schemas.microsoft.com/office/drawing/2014/main" id="{207A08DD-F0A4-3846-B3AC-D9EA8A9568E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99" name="AutoShape 75">
          <a:extLst>
            <a:ext uri="{FF2B5EF4-FFF2-40B4-BE49-F238E27FC236}">
              <a16:creationId xmlns:a16="http://schemas.microsoft.com/office/drawing/2014/main" id="{5071195B-F709-4A40-9EE6-89799FED9731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100" name="AutoShape 76">
          <a:extLst>
            <a:ext uri="{FF2B5EF4-FFF2-40B4-BE49-F238E27FC236}">
              <a16:creationId xmlns:a16="http://schemas.microsoft.com/office/drawing/2014/main" id="{79377BF6-0432-7445-935C-6A85B3CF8822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101" name="AutoShape 77">
          <a:extLst>
            <a:ext uri="{FF2B5EF4-FFF2-40B4-BE49-F238E27FC236}">
              <a16:creationId xmlns:a16="http://schemas.microsoft.com/office/drawing/2014/main" id="{39C85BDB-3CD3-9745-9234-302EDDF25E62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102" name="AutoShape 78">
          <a:extLst>
            <a:ext uri="{FF2B5EF4-FFF2-40B4-BE49-F238E27FC236}">
              <a16:creationId xmlns:a16="http://schemas.microsoft.com/office/drawing/2014/main" id="{753E51DD-91AE-FE4D-8FF3-8E03B494A08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103" name="AutoShape 79">
          <a:extLst>
            <a:ext uri="{FF2B5EF4-FFF2-40B4-BE49-F238E27FC236}">
              <a16:creationId xmlns:a16="http://schemas.microsoft.com/office/drawing/2014/main" id="{86FB75A4-C735-A241-83E7-C67E8ABCDE09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104" name="AutoShape 80">
          <a:extLst>
            <a:ext uri="{FF2B5EF4-FFF2-40B4-BE49-F238E27FC236}">
              <a16:creationId xmlns:a16="http://schemas.microsoft.com/office/drawing/2014/main" id="{6F63F5A6-801E-9F4E-B8D3-390D53B8DCBC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105" name="AutoShape 81">
          <a:extLst>
            <a:ext uri="{FF2B5EF4-FFF2-40B4-BE49-F238E27FC236}">
              <a16:creationId xmlns:a16="http://schemas.microsoft.com/office/drawing/2014/main" id="{4BA07843-5978-464A-BBA3-54C1C24C41F6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106" name="AutoShape 82">
          <a:extLst>
            <a:ext uri="{FF2B5EF4-FFF2-40B4-BE49-F238E27FC236}">
              <a16:creationId xmlns:a16="http://schemas.microsoft.com/office/drawing/2014/main" id="{78FA7074-7A30-E543-86C7-037E23FB4C21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107" name="AutoShape 83">
          <a:extLst>
            <a:ext uri="{FF2B5EF4-FFF2-40B4-BE49-F238E27FC236}">
              <a16:creationId xmlns:a16="http://schemas.microsoft.com/office/drawing/2014/main" id="{C8BF809D-8FA2-A54C-8292-E460CF333DCD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108" name="AutoShape 84">
          <a:extLst>
            <a:ext uri="{FF2B5EF4-FFF2-40B4-BE49-F238E27FC236}">
              <a16:creationId xmlns:a16="http://schemas.microsoft.com/office/drawing/2014/main" id="{0F77E284-AD6D-0E46-98DA-73B6567C36EB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109" name="AutoShape 85">
          <a:extLst>
            <a:ext uri="{FF2B5EF4-FFF2-40B4-BE49-F238E27FC236}">
              <a16:creationId xmlns:a16="http://schemas.microsoft.com/office/drawing/2014/main" id="{6B32B642-0E19-E84B-AAF7-6713EF0E26B8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110" name="AutoShape 86">
          <a:extLst>
            <a:ext uri="{FF2B5EF4-FFF2-40B4-BE49-F238E27FC236}">
              <a16:creationId xmlns:a16="http://schemas.microsoft.com/office/drawing/2014/main" id="{64CBB40D-4F80-714D-B068-7A1BD5B70979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111" name="AutoShape 87">
          <a:extLst>
            <a:ext uri="{FF2B5EF4-FFF2-40B4-BE49-F238E27FC236}">
              <a16:creationId xmlns:a16="http://schemas.microsoft.com/office/drawing/2014/main" id="{9093CAED-D72A-C746-AD54-C61A4B98F2D7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112" name="AutoShape 88">
          <a:extLst>
            <a:ext uri="{FF2B5EF4-FFF2-40B4-BE49-F238E27FC236}">
              <a16:creationId xmlns:a16="http://schemas.microsoft.com/office/drawing/2014/main" id="{1B2878EC-1C83-6742-AAAB-F0512F6F66F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113" name="AutoShape 89">
          <a:extLst>
            <a:ext uri="{FF2B5EF4-FFF2-40B4-BE49-F238E27FC236}">
              <a16:creationId xmlns:a16="http://schemas.microsoft.com/office/drawing/2014/main" id="{477AD61E-F076-2B43-A044-E57C722EC608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114" name="AutoShape 90">
          <a:extLst>
            <a:ext uri="{FF2B5EF4-FFF2-40B4-BE49-F238E27FC236}">
              <a16:creationId xmlns:a16="http://schemas.microsoft.com/office/drawing/2014/main" id="{D59FDED6-4756-2E40-9025-5BAE3A216397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115" name="AutoShape 91">
          <a:extLst>
            <a:ext uri="{FF2B5EF4-FFF2-40B4-BE49-F238E27FC236}">
              <a16:creationId xmlns:a16="http://schemas.microsoft.com/office/drawing/2014/main" id="{3F72A4FF-9522-D544-9CDD-5052754480AB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116" name="AutoShape 92">
          <a:extLst>
            <a:ext uri="{FF2B5EF4-FFF2-40B4-BE49-F238E27FC236}">
              <a16:creationId xmlns:a16="http://schemas.microsoft.com/office/drawing/2014/main" id="{F729A0A3-6171-8E45-AB3D-7E2CBA5830D5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117" name="AutoShape 93">
          <a:extLst>
            <a:ext uri="{FF2B5EF4-FFF2-40B4-BE49-F238E27FC236}">
              <a16:creationId xmlns:a16="http://schemas.microsoft.com/office/drawing/2014/main" id="{AEE7DEED-6A4E-514D-A3F5-3624CA3AD8C8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118" name="AutoShape 94">
          <a:extLst>
            <a:ext uri="{FF2B5EF4-FFF2-40B4-BE49-F238E27FC236}">
              <a16:creationId xmlns:a16="http://schemas.microsoft.com/office/drawing/2014/main" id="{BC2D65AA-270B-3240-ABE9-B6089484B8AF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119" name="AutoShape 95">
          <a:extLst>
            <a:ext uri="{FF2B5EF4-FFF2-40B4-BE49-F238E27FC236}">
              <a16:creationId xmlns:a16="http://schemas.microsoft.com/office/drawing/2014/main" id="{DFE5C77C-87C3-D943-91B9-39428C4C6495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120" name="AutoShape 96">
          <a:extLst>
            <a:ext uri="{FF2B5EF4-FFF2-40B4-BE49-F238E27FC236}">
              <a16:creationId xmlns:a16="http://schemas.microsoft.com/office/drawing/2014/main" id="{BBB183DB-0ADA-E847-8964-85A2F5BF7C5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" name="AutoShape 1">
          <a:extLst>
            <a:ext uri="{FF2B5EF4-FFF2-40B4-BE49-F238E27FC236}">
              <a16:creationId xmlns:a16="http://schemas.microsoft.com/office/drawing/2014/main" id="{259CB62A-BDF6-7744-B8CD-70720E02C5E4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222887A-224A-2241-8D4F-59AE42A00FC8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2DF2C220-85A4-F245-82B7-DD1AB4FD267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DDB47AB3-C4C2-004D-A334-BEC5B5E90AA7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6" name="AutoShape 5">
          <a:extLst>
            <a:ext uri="{FF2B5EF4-FFF2-40B4-BE49-F238E27FC236}">
              <a16:creationId xmlns:a16="http://schemas.microsoft.com/office/drawing/2014/main" id="{6E8AE0E2-961D-0E4B-B761-C7F6CF6B8A06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" name="AutoShape 6">
          <a:extLst>
            <a:ext uri="{FF2B5EF4-FFF2-40B4-BE49-F238E27FC236}">
              <a16:creationId xmlns:a16="http://schemas.microsoft.com/office/drawing/2014/main" id="{A3BFF262-0FA8-D549-8C8C-2F0EC7F94314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8" name="AutoShape 7">
          <a:extLst>
            <a:ext uri="{FF2B5EF4-FFF2-40B4-BE49-F238E27FC236}">
              <a16:creationId xmlns:a16="http://schemas.microsoft.com/office/drawing/2014/main" id="{25D566A0-DF89-F34E-A15E-95B1CE160D08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9" name="AutoShape 8">
          <a:extLst>
            <a:ext uri="{FF2B5EF4-FFF2-40B4-BE49-F238E27FC236}">
              <a16:creationId xmlns:a16="http://schemas.microsoft.com/office/drawing/2014/main" id="{AAAD731D-1DA8-5B49-BBF3-570F963F37F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" name="AutoShape 9">
          <a:extLst>
            <a:ext uri="{FF2B5EF4-FFF2-40B4-BE49-F238E27FC236}">
              <a16:creationId xmlns:a16="http://schemas.microsoft.com/office/drawing/2014/main" id="{8E871DFF-30B4-F440-A3D2-4359D72322D4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1" name="AutoShape 10">
          <a:extLst>
            <a:ext uri="{FF2B5EF4-FFF2-40B4-BE49-F238E27FC236}">
              <a16:creationId xmlns:a16="http://schemas.microsoft.com/office/drawing/2014/main" id="{8694000F-881A-9F40-BFCC-55555C01129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2" name="AutoShape 11">
          <a:extLst>
            <a:ext uri="{FF2B5EF4-FFF2-40B4-BE49-F238E27FC236}">
              <a16:creationId xmlns:a16="http://schemas.microsoft.com/office/drawing/2014/main" id="{0D4B3784-F98B-2147-BF36-CF227BA1124E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3" name="AutoShape 12">
          <a:extLst>
            <a:ext uri="{FF2B5EF4-FFF2-40B4-BE49-F238E27FC236}">
              <a16:creationId xmlns:a16="http://schemas.microsoft.com/office/drawing/2014/main" id="{C59FED40-630F-0F46-BDB9-03FEA4489B04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4" name="AutoShape 13">
          <a:extLst>
            <a:ext uri="{FF2B5EF4-FFF2-40B4-BE49-F238E27FC236}">
              <a16:creationId xmlns:a16="http://schemas.microsoft.com/office/drawing/2014/main" id="{83F5A590-44C2-A447-AE7C-FAAF453DD671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5" name="AutoShape 14">
          <a:extLst>
            <a:ext uri="{FF2B5EF4-FFF2-40B4-BE49-F238E27FC236}">
              <a16:creationId xmlns:a16="http://schemas.microsoft.com/office/drawing/2014/main" id="{A94C0142-74E4-2748-9F59-1D3F01CDECBF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6" name="AutoShape 15">
          <a:extLst>
            <a:ext uri="{FF2B5EF4-FFF2-40B4-BE49-F238E27FC236}">
              <a16:creationId xmlns:a16="http://schemas.microsoft.com/office/drawing/2014/main" id="{E2DF5ECC-297F-934C-AC28-378876E8FB12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7" name="AutoShape 16">
          <a:extLst>
            <a:ext uri="{FF2B5EF4-FFF2-40B4-BE49-F238E27FC236}">
              <a16:creationId xmlns:a16="http://schemas.microsoft.com/office/drawing/2014/main" id="{D5E79ED2-32D9-0A43-8C0B-54AC643C3D01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8" name="AutoShape 17">
          <a:extLst>
            <a:ext uri="{FF2B5EF4-FFF2-40B4-BE49-F238E27FC236}">
              <a16:creationId xmlns:a16="http://schemas.microsoft.com/office/drawing/2014/main" id="{BF3671D4-F46D-5540-85C3-BE904AA6FC4C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9" name="AutoShape 18">
          <a:extLst>
            <a:ext uri="{FF2B5EF4-FFF2-40B4-BE49-F238E27FC236}">
              <a16:creationId xmlns:a16="http://schemas.microsoft.com/office/drawing/2014/main" id="{451DA563-310D-494E-948B-613B9A666F1E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" name="AutoShape 19">
          <a:extLst>
            <a:ext uri="{FF2B5EF4-FFF2-40B4-BE49-F238E27FC236}">
              <a16:creationId xmlns:a16="http://schemas.microsoft.com/office/drawing/2014/main" id="{464EDDE5-32B0-3441-B361-5A9A5E24871A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" name="AutoShape 20">
          <a:extLst>
            <a:ext uri="{FF2B5EF4-FFF2-40B4-BE49-F238E27FC236}">
              <a16:creationId xmlns:a16="http://schemas.microsoft.com/office/drawing/2014/main" id="{BAE40F94-2220-5641-BC48-AD578C26EDCC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2" name="AutoShape 21">
          <a:extLst>
            <a:ext uri="{FF2B5EF4-FFF2-40B4-BE49-F238E27FC236}">
              <a16:creationId xmlns:a16="http://schemas.microsoft.com/office/drawing/2014/main" id="{0D8BAE48-D2C0-AE47-ADA5-1A174595FE7C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3" name="AutoShape 22">
          <a:extLst>
            <a:ext uri="{FF2B5EF4-FFF2-40B4-BE49-F238E27FC236}">
              <a16:creationId xmlns:a16="http://schemas.microsoft.com/office/drawing/2014/main" id="{B94CB872-BB1C-D04E-832F-88231AADC98C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4" name="AutoShape 23">
          <a:extLst>
            <a:ext uri="{FF2B5EF4-FFF2-40B4-BE49-F238E27FC236}">
              <a16:creationId xmlns:a16="http://schemas.microsoft.com/office/drawing/2014/main" id="{3F21B3B8-FCC4-D54C-A31B-43EC441B2C74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5" name="AutoShape 24">
          <a:extLst>
            <a:ext uri="{FF2B5EF4-FFF2-40B4-BE49-F238E27FC236}">
              <a16:creationId xmlns:a16="http://schemas.microsoft.com/office/drawing/2014/main" id="{39381848-82CE-684E-B0B0-7E90171F49BF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6" name="AutoShape 25">
          <a:extLst>
            <a:ext uri="{FF2B5EF4-FFF2-40B4-BE49-F238E27FC236}">
              <a16:creationId xmlns:a16="http://schemas.microsoft.com/office/drawing/2014/main" id="{90CEE4B3-8DEB-0E41-A581-0921FA635F44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7" name="AutoShape 26">
          <a:extLst>
            <a:ext uri="{FF2B5EF4-FFF2-40B4-BE49-F238E27FC236}">
              <a16:creationId xmlns:a16="http://schemas.microsoft.com/office/drawing/2014/main" id="{4CC1E384-45AB-6341-9DC5-C059F7A9873D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8" name="AutoShape 27">
          <a:extLst>
            <a:ext uri="{FF2B5EF4-FFF2-40B4-BE49-F238E27FC236}">
              <a16:creationId xmlns:a16="http://schemas.microsoft.com/office/drawing/2014/main" id="{9D4415C7-3A6D-9F4E-94AF-B5826F259EA2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9" name="AutoShape 28">
          <a:extLst>
            <a:ext uri="{FF2B5EF4-FFF2-40B4-BE49-F238E27FC236}">
              <a16:creationId xmlns:a16="http://schemas.microsoft.com/office/drawing/2014/main" id="{FFAE0D68-2179-CE48-AF9B-796E6B8B0D1C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0" name="AutoShape 29">
          <a:extLst>
            <a:ext uri="{FF2B5EF4-FFF2-40B4-BE49-F238E27FC236}">
              <a16:creationId xmlns:a16="http://schemas.microsoft.com/office/drawing/2014/main" id="{4D92BD80-1880-BB4A-9753-5CFC7D84ABC6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" name="AutoShape 30">
          <a:extLst>
            <a:ext uri="{FF2B5EF4-FFF2-40B4-BE49-F238E27FC236}">
              <a16:creationId xmlns:a16="http://schemas.microsoft.com/office/drawing/2014/main" id="{B6C778A3-1B43-E94A-A5B3-3AF6CAC6BE84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2" name="AutoShape 31">
          <a:extLst>
            <a:ext uri="{FF2B5EF4-FFF2-40B4-BE49-F238E27FC236}">
              <a16:creationId xmlns:a16="http://schemas.microsoft.com/office/drawing/2014/main" id="{7F1A64C2-AAE2-CA4F-80C5-2028A0AF28AF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3" name="AutoShape 32">
          <a:extLst>
            <a:ext uri="{FF2B5EF4-FFF2-40B4-BE49-F238E27FC236}">
              <a16:creationId xmlns:a16="http://schemas.microsoft.com/office/drawing/2014/main" id="{E4924E11-C844-E847-912B-4876BFE6FF39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57" name="AutoShape 33">
          <a:extLst>
            <a:ext uri="{FF2B5EF4-FFF2-40B4-BE49-F238E27FC236}">
              <a16:creationId xmlns:a16="http://schemas.microsoft.com/office/drawing/2014/main" id="{F0775721-D841-C844-A6F9-88056546E97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58" name="AutoShape 34">
          <a:extLst>
            <a:ext uri="{FF2B5EF4-FFF2-40B4-BE49-F238E27FC236}">
              <a16:creationId xmlns:a16="http://schemas.microsoft.com/office/drawing/2014/main" id="{E0BC539F-2BAD-2944-9A11-6DC25F8B0CD4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59" name="AutoShape 35">
          <a:extLst>
            <a:ext uri="{FF2B5EF4-FFF2-40B4-BE49-F238E27FC236}">
              <a16:creationId xmlns:a16="http://schemas.microsoft.com/office/drawing/2014/main" id="{5606BD08-D0C2-F940-8272-1B483D36474E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60" name="AutoShape 36">
          <a:extLst>
            <a:ext uri="{FF2B5EF4-FFF2-40B4-BE49-F238E27FC236}">
              <a16:creationId xmlns:a16="http://schemas.microsoft.com/office/drawing/2014/main" id="{399DBD5D-F8A6-C64D-BADA-1E407AE81273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61" name="AutoShape 37">
          <a:extLst>
            <a:ext uri="{FF2B5EF4-FFF2-40B4-BE49-F238E27FC236}">
              <a16:creationId xmlns:a16="http://schemas.microsoft.com/office/drawing/2014/main" id="{55084132-DB7C-A449-BB1D-528CC570B1FE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62" name="AutoShape 38">
          <a:extLst>
            <a:ext uri="{FF2B5EF4-FFF2-40B4-BE49-F238E27FC236}">
              <a16:creationId xmlns:a16="http://schemas.microsoft.com/office/drawing/2014/main" id="{B5255C5D-AADD-FD49-9E1F-889319FC69BC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63" name="AutoShape 39">
          <a:extLst>
            <a:ext uri="{FF2B5EF4-FFF2-40B4-BE49-F238E27FC236}">
              <a16:creationId xmlns:a16="http://schemas.microsoft.com/office/drawing/2014/main" id="{AB5220C9-4E3E-4E4C-85FE-13170A31A20D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64" name="AutoShape 40">
          <a:extLst>
            <a:ext uri="{FF2B5EF4-FFF2-40B4-BE49-F238E27FC236}">
              <a16:creationId xmlns:a16="http://schemas.microsoft.com/office/drawing/2014/main" id="{3DF1B19C-7ACF-4340-BCD6-19C8930FDDFE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65" name="AutoShape 41">
          <a:extLst>
            <a:ext uri="{FF2B5EF4-FFF2-40B4-BE49-F238E27FC236}">
              <a16:creationId xmlns:a16="http://schemas.microsoft.com/office/drawing/2014/main" id="{F0A84A04-BF91-C746-A2ED-395CA38168FA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66" name="AutoShape 42">
          <a:extLst>
            <a:ext uri="{FF2B5EF4-FFF2-40B4-BE49-F238E27FC236}">
              <a16:creationId xmlns:a16="http://schemas.microsoft.com/office/drawing/2014/main" id="{5BD4AF71-10A9-9645-9983-1F5502096B27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67" name="AutoShape 43">
          <a:extLst>
            <a:ext uri="{FF2B5EF4-FFF2-40B4-BE49-F238E27FC236}">
              <a16:creationId xmlns:a16="http://schemas.microsoft.com/office/drawing/2014/main" id="{9BB5FA9F-6EA6-1F4E-9681-0A9954EE6165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068" name="AutoShape 44">
          <a:extLst>
            <a:ext uri="{FF2B5EF4-FFF2-40B4-BE49-F238E27FC236}">
              <a16:creationId xmlns:a16="http://schemas.microsoft.com/office/drawing/2014/main" id="{1CD23742-9C51-E94F-A54B-D9A7EA20B219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069" name="AutoShape 45">
          <a:extLst>
            <a:ext uri="{FF2B5EF4-FFF2-40B4-BE49-F238E27FC236}">
              <a16:creationId xmlns:a16="http://schemas.microsoft.com/office/drawing/2014/main" id="{D4362CEE-B429-5B4A-B6DF-8F1DB8037811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070" name="AutoShape 46">
          <a:extLst>
            <a:ext uri="{FF2B5EF4-FFF2-40B4-BE49-F238E27FC236}">
              <a16:creationId xmlns:a16="http://schemas.microsoft.com/office/drawing/2014/main" id="{E91DC02A-CB59-E14E-92BF-DD47DA09F4D6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071" name="AutoShape 47">
          <a:extLst>
            <a:ext uri="{FF2B5EF4-FFF2-40B4-BE49-F238E27FC236}">
              <a16:creationId xmlns:a16="http://schemas.microsoft.com/office/drawing/2014/main" id="{29EE0BC4-BE55-5340-92ED-C0CDE0759A21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072" name="AutoShape 48">
          <a:extLst>
            <a:ext uri="{FF2B5EF4-FFF2-40B4-BE49-F238E27FC236}">
              <a16:creationId xmlns:a16="http://schemas.microsoft.com/office/drawing/2014/main" id="{51C0A056-1670-B34D-BC84-B5C44B3881F9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073" name="AutoShape 49">
          <a:extLst>
            <a:ext uri="{FF2B5EF4-FFF2-40B4-BE49-F238E27FC236}">
              <a16:creationId xmlns:a16="http://schemas.microsoft.com/office/drawing/2014/main" id="{40429DEC-8768-6744-AFEE-D6BBF90E8AAA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074" name="AutoShape 50">
          <a:extLst>
            <a:ext uri="{FF2B5EF4-FFF2-40B4-BE49-F238E27FC236}">
              <a16:creationId xmlns:a16="http://schemas.microsoft.com/office/drawing/2014/main" id="{C52BC7A6-94AC-1646-9C08-F7D95BE33EA6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075" name="AutoShape 51">
          <a:extLst>
            <a:ext uri="{FF2B5EF4-FFF2-40B4-BE49-F238E27FC236}">
              <a16:creationId xmlns:a16="http://schemas.microsoft.com/office/drawing/2014/main" id="{2F167375-7ED2-4944-8A31-407719A57345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076" name="AutoShape 52">
          <a:extLst>
            <a:ext uri="{FF2B5EF4-FFF2-40B4-BE49-F238E27FC236}">
              <a16:creationId xmlns:a16="http://schemas.microsoft.com/office/drawing/2014/main" id="{F4D01C42-7118-404D-A061-E04FA3E39CD7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077" name="AutoShape 53">
          <a:extLst>
            <a:ext uri="{FF2B5EF4-FFF2-40B4-BE49-F238E27FC236}">
              <a16:creationId xmlns:a16="http://schemas.microsoft.com/office/drawing/2014/main" id="{37F94827-A24A-E047-BAAA-086EB8536C30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078" name="AutoShape 54">
          <a:extLst>
            <a:ext uri="{FF2B5EF4-FFF2-40B4-BE49-F238E27FC236}">
              <a16:creationId xmlns:a16="http://schemas.microsoft.com/office/drawing/2014/main" id="{D4915DB3-27B0-8048-A3D5-8C940ECA3817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079" name="AutoShape 55">
          <a:extLst>
            <a:ext uri="{FF2B5EF4-FFF2-40B4-BE49-F238E27FC236}">
              <a16:creationId xmlns:a16="http://schemas.microsoft.com/office/drawing/2014/main" id="{37ED5EC9-CC74-1F45-9BD8-76CFF35179F3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080" name="AutoShape 56">
          <a:extLst>
            <a:ext uri="{FF2B5EF4-FFF2-40B4-BE49-F238E27FC236}">
              <a16:creationId xmlns:a16="http://schemas.microsoft.com/office/drawing/2014/main" id="{3F10DDF1-BE0C-0046-84D0-B7A2B6828B1F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081" name="AutoShape 57">
          <a:extLst>
            <a:ext uri="{FF2B5EF4-FFF2-40B4-BE49-F238E27FC236}">
              <a16:creationId xmlns:a16="http://schemas.microsoft.com/office/drawing/2014/main" id="{E63DC1B1-BC0D-9A46-AFBF-8B1055D8AA69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082" name="AutoShape 58">
          <a:extLst>
            <a:ext uri="{FF2B5EF4-FFF2-40B4-BE49-F238E27FC236}">
              <a16:creationId xmlns:a16="http://schemas.microsoft.com/office/drawing/2014/main" id="{645BC9DF-F22D-5B4E-A23F-C929221159E4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083" name="AutoShape 59">
          <a:extLst>
            <a:ext uri="{FF2B5EF4-FFF2-40B4-BE49-F238E27FC236}">
              <a16:creationId xmlns:a16="http://schemas.microsoft.com/office/drawing/2014/main" id="{4F10BDF2-C41C-7D44-B4DC-6530FD9D3FAE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084" name="AutoShape 60">
          <a:extLst>
            <a:ext uri="{FF2B5EF4-FFF2-40B4-BE49-F238E27FC236}">
              <a16:creationId xmlns:a16="http://schemas.microsoft.com/office/drawing/2014/main" id="{D2521464-05E1-BA4A-810C-F078D04C518C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085" name="AutoShape 61">
          <a:extLst>
            <a:ext uri="{FF2B5EF4-FFF2-40B4-BE49-F238E27FC236}">
              <a16:creationId xmlns:a16="http://schemas.microsoft.com/office/drawing/2014/main" id="{735B08F0-7096-2346-A46E-809EF6DB66FD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086" name="AutoShape 62">
          <a:extLst>
            <a:ext uri="{FF2B5EF4-FFF2-40B4-BE49-F238E27FC236}">
              <a16:creationId xmlns:a16="http://schemas.microsoft.com/office/drawing/2014/main" id="{7CF3ECC9-F21D-3240-ACEF-DCD6606BC22F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087" name="AutoShape 63">
          <a:extLst>
            <a:ext uri="{FF2B5EF4-FFF2-40B4-BE49-F238E27FC236}">
              <a16:creationId xmlns:a16="http://schemas.microsoft.com/office/drawing/2014/main" id="{5F7FA069-EBCE-F949-B0A3-90FD6BD55D79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088" name="AutoShape 64">
          <a:extLst>
            <a:ext uri="{FF2B5EF4-FFF2-40B4-BE49-F238E27FC236}">
              <a16:creationId xmlns:a16="http://schemas.microsoft.com/office/drawing/2014/main" id="{6773062F-3146-0D4C-B6D9-2C50389C08CE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F7C5AD73-5C8E-9540-98AD-15E9539E375A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074" name="AutoShape 2">
          <a:extLst>
            <a:ext uri="{FF2B5EF4-FFF2-40B4-BE49-F238E27FC236}">
              <a16:creationId xmlns:a16="http://schemas.microsoft.com/office/drawing/2014/main" id="{A5E387BE-89CC-DE4F-B663-589C30AB079A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3075" name="AutoShape 3">
          <a:extLst>
            <a:ext uri="{FF2B5EF4-FFF2-40B4-BE49-F238E27FC236}">
              <a16:creationId xmlns:a16="http://schemas.microsoft.com/office/drawing/2014/main" id="{C9CE7A5E-EF24-3B4C-8F9B-F71AD5350F96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CB7EE3F7-E537-7848-B927-B4CAA54080D5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3077" name="AutoShape 5">
          <a:extLst>
            <a:ext uri="{FF2B5EF4-FFF2-40B4-BE49-F238E27FC236}">
              <a16:creationId xmlns:a16="http://schemas.microsoft.com/office/drawing/2014/main" id="{3405F9BC-95A0-7C4A-996A-8986C668E6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3078" name="AutoShape 6">
          <a:extLst>
            <a:ext uri="{FF2B5EF4-FFF2-40B4-BE49-F238E27FC236}">
              <a16:creationId xmlns:a16="http://schemas.microsoft.com/office/drawing/2014/main" id="{393C9036-2B9E-4942-9CD6-5DF0EF81089E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83E7B07-C23A-7F4E-AE4F-D6E8C337AE5E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3080" name="AutoShape 8">
          <a:extLst>
            <a:ext uri="{FF2B5EF4-FFF2-40B4-BE49-F238E27FC236}">
              <a16:creationId xmlns:a16="http://schemas.microsoft.com/office/drawing/2014/main" id="{AC03FD96-B88C-354F-ADFF-4934745805F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3081" name="AutoShape 9">
          <a:extLst>
            <a:ext uri="{FF2B5EF4-FFF2-40B4-BE49-F238E27FC236}">
              <a16:creationId xmlns:a16="http://schemas.microsoft.com/office/drawing/2014/main" id="{2D3079DC-9CE9-F446-ABF0-3A4B532C298E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3082" name="AutoShape 10">
          <a:extLst>
            <a:ext uri="{FF2B5EF4-FFF2-40B4-BE49-F238E27FC236}">
              <a16:creationId xmlns:a16="http://schemas.microsoft.com/office/drawing/2014/main" id="{5DC48EC5-9773-4143-B8D8-B7EB4E9FBA45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3083" name="AutoShape 11">
          <a:extLst>
            <a:ext uri="{FF2B5EF4-FFF2-40B4-BE49-F238E27FC236}">
              <a16:creationId xmlns:a16="http://schemas.microsoft.com/office/drawing/2014/main" id="{1735C25C-25E4-474C-80BA-A50DFB964852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3084" name="AutoShape 12">
          <a:extLst>
            <a:ext uri="{FF2B5EF4-FFF2-40B4-BE49-F238E27FC236}">
              <a16:creationId xmlns:a16="http://schemas.microsoft.com/office/drawing/2014/main" id="{FE85CF0D-5783-9A4C-A7FA-4E7E26D57456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3085" name="AutoShape 13">
          <a:extLst>
            <a:ext uri="{FF2B5EF4-FFF2-40B4-BE49-F238E27FC236}">
              <a16:creationId xmlns:a16="http://schemas.microsoft.com/office/drawing/2014/main" id="{647BE324-BAE1-6B4F-AAE4-E1078E6346FE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3086" name="AutoShape 14">
          <a:extLst>
            <a:ext uri="{FF2B5EF4-FFF2-40B4-BE49-F238E27FC236}">
              <a16:creationId xmlns:a16="http://schemas.microsoft.com/office/drawing/2014/main" id="{D0FAC426-99C2-C340-AECD-C1BEAD5BF1FD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3087" name="AutoShape 15">
          <a:extLst>
            <a:ext uri="{FF2B5EF4-FFF2-40B4-BE49-F238E27FC236}">
              <a16:creationId xmlns:a16="http://schemas.microsoft.com/office/drawing/2014/main" id="{498F75A5-3D3D-BB4E-BD2F-B44B7E1CC1AA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3088" name="AutoShape 16">
          <a:extLst>
            <a:ext uri="{FF2B5EF4-FFF2-40B4-BE49-F238E27FC236}">
              <a16:creationId xmlns:a16="http://schemas.microsoft.com/office/drawing/2014/main" id="{74EF703F-671B-C845-9BEE-D234C66CC6AE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3089" name="AutoShape 17">
          <a:extLst>
            <a:ext uri="{FF2B5EF4-FFF2-40B4-BE49-F238E27FC236}">
              <a16:creationId xmlns:a16="http://schemas.microsoft.com/office/drawing/2014/main" id="{488C133E-654B-684F-80F6-C5F61300DA18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3090" name="AutoShape 18">
          <a:extLst>
            <a:ext uri="{FF2B5EF4-FFF2-40B4-BE49-F238E27FC236}">
              <a16:creationId xmlns:a16="http://schemas.microsoft.com/office/drawing/2014/main" id="{ABD6021A-E68F-4645-BAEB-D2FA84856BA5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3091" name="AutoShape 19">
          <a:extLst>
            <a:ext uri="{FF2B5EF4-FFF2-40B4-BE49-F238E27FC236}">
              <a16:creationId xmlns:a16="http://schemas.microsoft.com/office/drawing/2014/main" id="{78644B1A-7204-9440-9054-06DE63371D01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3092" name="AutoShape 20">
          <a:extLst>
            <a:ext uri="{FF2B5EF4-FFF2-40B4-BE49-F238E27FC236}">
              <a16:creationId xmlns:a16="http://schemas.microsoft.com/office/drawing/2014/main" id="{30D3966C-FF47-6245-9EA1-A9161C031B34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3093" name="AutoShape 21">
          <a:extLst>
            <a:ext uri="{FF2B5EF4-FFF2-40B4-BE49-F238E27FC236}">
              <a16:creationId xmlns:a16="http://schemas.microsoft.com/office/drawing/2014/main" id="{F46B784A-5C19-6E41-BB65-75C641401196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3094" name="AutoShape 22">
          <a:extLst>
            <a:ext uri="{FF2B5EF4-FFF2-40B4-BE49-F238E27FC236}">
              <a16:creationId xmlns:a16="http://schemas.microsoft.com/office/drawing/2014/main" id="{690233B5-8F84-694F-B4D0-CB3E99A11659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3095" name="AutoShape 23">
          <a:extLst>
            <a:ext uri="{FF2B5EF4-FFF2-40B4-BE49-F238E27FC236}">
              <a16:creationId xmlns:a16="http://schemas.microsoft.com/office/drawing/2014/main" id="{B2DE7730-4DB9-3946-A09F-6B90154D7C34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3096" name="AutoShape 24">
          <a:extLst>
            <a:ext uri="{FF2B5EF4-FFF2-40B4-BE49-F238E27FC236}">
              <a16:creationId xmlns:a16="http://schemas.microsoft.com/office/drawing/2014/main" id="{94722818-EA50-8941-B6A0-9DFE60D8F98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3097" name="AutoShape 25">
          <a:extLst>
            <a:ext uri="{FF2B5EF4-FFF2-40B4-BE49-F238E27FC236}">
              <a16:creationId xmlns:a16="http://schemas.microsoft.com/office/drawing/2014/main" id="{A9D8529C-3009-B848-A1E0-BD97C80B8016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3098" name="AutoShape 26">
          <a:extLst>
            <a:ext uri="{FF2B5EF4-FFF2-40B4-BE49-F238E27FC236}">
              <a16:creationId xmlns:a16="http://schemas.microsoft.com/office/drawing/2014/main" id="{D9131F01-06AC-2749-988A-ED72EF3DAB8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3099" name="AutoShape 27">
          <a:extLst>
            <a:ext uri="{FF2B5EF4-FFF2-40B4-BE49-F238E27FC236}">
              <a16:creationId xmlns:a16="http://schemas.microsoft.com/office/drawing/2014/main" id="{AE200903-DCE6-1D4E-9EB2-35B0785F874C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3100" name="AutoShape 28">
          <a:extLst>
            <a:ext uri="{FF2B5EF4-FFF2-40B4-BE49-F238E27FC236}">
              <a16:creationId xmlns:a16="http://schemas.microsoft.com/office/drawing/2014/main" id="{AA6A6155-89C3-1F4A-961C-164C18FEEC8D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101" name="AutoShape 29">
          <a:extLst>
            <a:ext uri="{FF2B5EF4-FFF2-40B4-BE49-F238E27FC236}">
              <a16:creationId xmlns:a16="http://schemas.microsoft.com/office/drawing/2014/main" id="{E9476723-F728-8042-92BC-591C988923A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02" name="AutoShape 30">
          <a:extLst>
            <a:ext uri="{FF2B5EF4-FFF2-40B4-BE49-F238E27FC236}">
              <a16:creationId xmlns:a16="http://schemas.microsoft.com/office/drawing/2014/main" id="{65052301-6484-E243-8E59-4B71503CB767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103" name="AutoShape 31">
          <a:extLst>
            <a:ext uri="{FF2B5EF4-FFF2-40B4-BE49-F238E27FC236}">
              <a16:creationId xmlns:a16="http://schemas.microsoft.com/office/drawing/2014/main" id="{7761198D-2CDE-A446-A7C8-CC4FC0BE1CAC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104" name="AutoShape 32">
          <a:extLst>
            <a:ext uri="{FF2B5EF4-FFF2-40B4-BE49-F238E27FC236}">
              <a16:creationId xmlns:a16="http://schemas.microsoft.com/office/drawing/2014/main" id="{CE5FD114-47AE-AF41-B6BA-00C5999798C0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3137" name="AutoShape 65">
          <a:extLst>
            <a:ext uri="{FF2B5EF4-FFF2-40B4-BE49-F238E27FC236}">
              <a16:creationId xmlns:a16="http://schemas.microsoft.com/office/drawing/2014/main" id="{DE494D5B-2B0A-6C4E-8E71-0640B79E04D3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138" name="AutoShape 66">
          <a:extLst>
            <a:ext uri="{FF2B5EF4-FFF2-40B4-BE49-F238E27FC236}">
              <a16:creationId xmlns:a16="http://schemas.microsoft.com/office/drawing/2014/main" id="{9086B8AA-2495-BB47-AEC3-698ECCA9FE27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3139" name="AutoShape 67">
          <a:extLst>
            <a:ext uri="{FF2B5EF4-FFF2-40B4-BE49-F238E27FC236}">
              <a16:creationId xmlns:a16="http://schemas.microsoft.com/office/drawing/2014/main" id="{8CD00595-F06F-614F-8383-4886B814ED99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3140" name="AutoShape 68">
          <a:extLst>
            <a:ext uri="{FF2B5EF4-FFF2-40B4-BE49-F238E27FC236}">
              <a16:creationId xmlns:a16="http://schemas.microsoft.com/office/drawing/2014/main" id="{37CCB3BC-BA9B-F24A-8391-175B747EC376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3141" name="AutoShape 69">
          <a:extLst>
            <a:ext uri="{FF2B5EF4-FFF2-40B4-BE49-F238E27FC236}">
              <a16:creationId xmlns:a16="http://schemas.microsoft.com/office/drawing/2014/main" id="{B4B5B0B7-4ADD-0E40-AB22-1997295DE572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3142" name="AutoShape 70">
          <a:extLst>
            <a:ext uri="{FF2B5EF4-FFF2-40B4-BE49-F238E27FC236}">
              <a16:creationId xmlns:a16="http://schemas.microsoft.com/office/drawing/2014/main" id="{D70847C3-F9CE-0640-95D4-69BCE65A89B5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3143" name="AutoShape 71">
          <a:extLst>
            <a:ext uri="{FF2B5EF4-FFF2-40B4-BE49-F238E27FC236}">
              <a16:creationId xmlns:a16="http://schemas.microsoft.com/office/drawing/2014/main" id="{EC8D7ED1-4334-D542-A5D8-4FA78BAF5E4A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3144" name="AutoShape 72">
          <a:extLst>
            <a:ext uri="{FF2B5EF4-FFF2-40B4-BE49-F238E27FC236}">
              <a16:creationId xmlns:a16="http://schemas.microsoft.com/office/drawing/2014/main" id="{AF5AA14B-4A39-B447-B2E2-661810F1AFC0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3145" name="AutoShape 73">
          <a:extLst>
            <a:ext uri="{FF2B5EF4-FFF2-40B4-BE49-F238E27FC236}">
              <a16:creationId xmlns:a16="http://schemas.microsoft.com/office/drawing/2014/main" id="{D1DD3833-CE91-0E4C-8346-821D1BDDA123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3146" name="AutoShape 74">
          <a:extLst>
            <a:ext uri="{FF2B5EF4-FFF2-40B4-BE49-F238E27FC236}">
              <a16:creationId xmlns:a16="http://schemas.microsoft.com/office/drawing/2014/main" id="{79A6C2D5-AFA1-2341-9C74-50CC0BC16B9F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3147" name="AutoShape 75">
          <a:extLst>
            <a:ext uri="{FF2B5EF4-FFF2-40B4-BE49-F238E27FC236}">
              <a16:creationId xmlns:a16="http://schemas.microsoft.com/office/drawing/2014/main" id="{B89FAAFD-DA57-464F-AFB3-8AC7D75F47D6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3148" name="AutoShape 76">
          <a:extLst>
            <a:ext uri="{FF2B5EF4-FFF2-40B4-BE49-F238E27FC236}">
              <a16:creationId xmlns:a16="http://schemas.microsoft.com/office/drawing/2014/main" id="{90C0EF23-519A-6A41-9585-C2A602B66F60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3149" name="AutoShape 77">
          <a:extLst>
            <a:ext uri="{FF2B5EF4-FFF2-40B4-BE49-F238E27FC236}">
              <a16:creationId xmlns:a16="http://schemas.microsoft.com/office/drawing/2014/main" id="{9398C4E3-BF01-4247-9918-C7AD329FE47B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3150" name="AutoShape 78">
          <a:extLst>
            <a:ext uri="{FF2B5EF4-FFF2-40B4-BE49-F238E27FC236}">
              <a16:creationId xmlns:a16="http://schemas.microsoft.com/office/drawing/2014/main" id="{6D8D2E63-7959-9647-882A-5509953C03C4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3151" name="AutoShape 79">
          <a:extLst>
            <a:ext uri="{FF2B5EF4-FFF2-40B4-BE49-F238E27FC236}">
              <a16:creationId xmlns:a16="http://schemas.microsoft.com/office/drawing/2014/main" id="{0F91FF51-5304-6341-9C43-78A16A2C34ED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3152" name="AutoShape 80">
          <a:extLst>
            <a:ext uri="{FF2B5EF4-FFF2-40B4-BE49-F238E27FC236}">
              <a16:creationId xmlns:a16="http://schemas.microsoft.com/office/drawing/2014/main" id="{73B1D277-BB19-4F4A-9A41-992FDEADB1A2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3153" name="AutoShape 81">
          <a:extLst>
            <a:ext uri="{FF2B5EF4-FFF2-40B4-BE49-F238E27FC236}">
              <a16:creationId xmlns:a16="http://schemas.microsoft.com/office/drawing/2014/main" id="{9FFF523A-A496-0C4A-9902-37AD0F07E89D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3154" name="AutoShape 82">
          <a:extLst>
            <a:ext uri="{FF2B5EF4-FFF2-40B4-BE49-F238E27FC236}">
              <a16:creationId xmlns:a16="http://schemas.microsoft.com/office/drawing/2014/main" id="{9B14B3BF-8446-E242-B1B2-35109F693A21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3155" name="AutoShape 83">
          <a:extLst>
            <a:ext uri="{FF2B5EF4-FFF2-40B4-BE49-F238E27FC236}">
              <a16:creationId xmlns:a16="http://schemas.microsoft.com/office/drawing/2014/main" id="{EF5EEE4C-88D2-9641-9E5F-E49C40772782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3156" name="AutoShape 84">
          <a:extLst>
            <a:ext uri="{FF2B5EF4-FFF2-40B4-BE49-F238E27FC236}">
              <a16:creationId xmlns:a16="http://schemas.microsoft.com/office/drawing/2014/main" id="{3624B4C6-F08C-BC40-AA39-F418F028396E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3157" name="AutoShape 85">
          <a:extLst>
            <a:ext uri="{FF2B5EF4-FFF2-40B4-BE49-F238E27FC236}">
              <a16:creationId xmlns:a16="http://schemas.microsoft.com/office/drawing/2014/main" id="{CCF69DD5-62A7-3942-9E9E-8959CD5A8F3A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3158" name="AutoShape 86">
          <a:extLst>
            <a:ext uri="{FF2B5EF4-FFF2-40B4-BE49-F238E27FC236}">
              <a16:creationId xmlns:a16="http://schemas.microsoft.com/office/drawing/2014/main" id="{5547CEE8-3DB1-0F45-A0C5-47CEC14D32E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3159" name="AutoShape 87">
          <a:extLst>
            <a:ext uri="{FF2B5EF4-FFF2-40B4-BE49-F238E27FC236}">
              <a16:creationId xmlns:a16="http://schemas.microsoft.com/office/drawing/2014/main" id="{383AE7FB-CFD8-2F45-9EFB-96F420FD8D12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3160" name="AutoShape 88">
          <a:extLst>
            <a:ext uri="{FF2B5EF4-FFF2-40B4-BE49-F238E27FC236}">
              <a16:creationId xmlns:a16="http://schemas.microsoft.com/office/drawing/2014/main" id="{1D73B4B3-86C9-F94D-915B-881C653C7CEE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3161" name="AutoShape 89">
          <a:extLst>
            <a:ext uri="{FF2B5EF4-FFF2-40B4-BE49-F238E27FC236}">
              <a16:creationId xmlns:a16="http://schemas.microsoft.com/office/drawing/2014/main" id="{D81346C3-03AA-AC40-9DA4-9B8985A9DCE7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3162" name="AutoShape 90">
          <a:extLst>
            <a:ext uri="{FF2B5EF4-FFF2-40B4-BE49-F238E27FC236}">
              <a16:creationId xmlns:a16="http://schemas.microsoft.com/office/drawing/2014/main" id="{1BA8EA9B-D6EC-8640-B251-20D8DE79A05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3163" name="AutoShape 91">
          <a:extLst>
            <a:ext uri="{FF2B5EF4-FFF2-40B4-BE49-F238E27FC236}">
              <a16:creationId xmlns:a16="http://schemas.microsoft.com/office/drawing/2014/main" id="{4B0D0249-95AC-6744-A60C-D2F70170CA15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3164" name="AutoShape 92">
          <a:extLst>
            <a:ext uri="{FF2B5EF4-FFF2-40B4-BE49-F238E27FC236}">
              <a16:creationId xmlns:a16="http://schemas.microsoft.com/office/drawing/2014/main" id="{C24B2A77-08FB-FE47-BDF9-1BE02E2BC65E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165" name="AutoShape 93">
          <a:extLst>
            <a:ext uri="{FF2B5EF4-FFF2-40B4-BE49-F238E27FC236}">
              <a16:creationId xmlns:a16="http://schemas.microsoft.com/office/drawing/2014/main" id="{1FA887B0-E682-B94F-8C4B-4EBF643F56EA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66" name="AutoShape 94">
          <a:extLst>
            <a:ext uri="{FF2B5EF4-FFF2-40B4-BE49-F238E27FC236}">
              <a16:creationId xmlns:a16="http://schemas.microsoft.com/office/drawing/2014/main" id="{608DFCC6-7259-E147-B488-7856DCA5E44F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167" name="AutoShape 95">
          <a:extLst>
            <a:ext uri="{FF2B5EF4-FFF2-40B4-BE49-F238E27FC236}">
              <a16:creationId xmlns:a16="http://schemas.microsoft.com/office/drawing/2014/main" id="{724AE72B-3B16-AE49-91E2-6ADF820A64E1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168" name="AutoShape 96">
          <a:extLst>
            <a:ext uri="{FF2B5EF4-FFF2-40B4-BE49-F238E27FC236}">
              <a16:creationId xmlns:a16="http://schemas.microsoft.com/office/drawing/2014/main" id="{636DB52A-EF70-A84F-937B-1E38682A9261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049" name="AutoShape 1">
          <a:extLst>
            <a:ext uri="{FF2B5EF4-FFF2-40B4-BE49-F238E27FC236}">
              <a16:creationId xmlns:a16="http://schemas.microsoft.com/office/drawing/2014/main" id="{E92FC1AB-6B5B-4743-81F3-01D645B60B8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8FEA0497-7378-5141-A40E-77B4777D12CA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2051" name="AutoShape 3">
          <a:extLst>
            <a:ext uri="{FF2B5EF4-FFF2-40B4-BE49-F238E27FC236}">
              <a16:creationId xmlns:a16="http://schemas.microsoft.com/office/drawing/2014/main" id="{0F302383-35B9-0A4B-A425-25BC22EA1643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2052" name="AutoShape 4">
          <a:extLst>
            <a:ext uri="{FF2B5EF4-FFF2-40B4-BE49-F238E27FC236}">
              <a16:creationId xmlns:a16="http://schemas.microsoft.com/office/drawing/2014/main" id="{87A6D3F6-ACF4-2D4A-98F7-AC6B24538C16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2053" name="AutoShape 5">
          <a:extLst>
            <a:ext uri="{FF2B5EF4-FFF2-40B4-BE49-F238E27FC236}">
              <a16:creationId xmlns:a16="http://schemas.microsoft.com/office/drawing/2014/main" id="{C7CF3EA3-D49B-AD41-9A38-1EDD5712FFB9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2054" name="AutoShape 6">
          <a:extLst>
            <a:ext uri="{FF2B5EF4-FFF2-40B4-BE49-F238E27FC236}">
              <a16:creationId xmlns:a16="http://schemas.microsoft.com/office/drawing/2014/main" id="{0BDDCC4E-C367-A648-B928-D68198ACF8E4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2055" name="AutoShape 7">
          <a:extLst>
            <a:ext uri="{FF2B5EF4-FFF2-40B4-BE49-F238E27FC236}">
              <a16:creationId xmlns:a16="http://schemas.microsoft.com/office/drawing/2014/main" id="{B993AC49-B543-4D47-A6E3-8772C0C7D6FD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2056" name="AutoShape 8">
          <a:extLst>
            <a:ext uri="{FF2B5EF4-FFF2-40B4-BE49-F238E27FC236}">
              <a16:creationId xmlns:a16="http://schemas.microsoft.com/office/drawing/2014/main" id="{F913CF55-602C-CC48-A7D5-309304584AA7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2057" name="AutoShape 9">
          <a:extLst>
            <a:ext uri="{FF2B5EF4-FFF2-40B4-BE49-F238E27FC236}">
              <a16:creationId xmlns:a16="http://schemas.microsoft.com/office/drawing/2014/main" id="{3173B485-6497-3D4C-81F8-F062FC424E4A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2058" name="AutoShape 10">
          <a:extLst>
            <a:ext uri="{FF2B5EF4-FFF2-40B4-BE49-F238E27FC236}">
              <a16:creationId xmlns:a16="http://schemas.microsoft.com/office/drawing/2014/main" id="{3DAF12B5-1480-D444-A87D-D38686201DA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2059" name="AutoShape 11">
          <a:extLst>
            <a:ext uri="{FF2B5EF4-FFF2-40B4-BE49-F238E27FC236}">
              <a16:creationId xmlns:a16="http://schemas.microsoft.com/office/drawing/2014/main" id="{C396EA8F-A60A-F04F-9B9D-1E6B9F60C094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2060" name="AutoShape 12">
          <a:extLst>
            <a:ext uri="{FF2B5EF4-FFF2-40B4-BE49-F238E27FC236}">
              <a16:creationId xmlns:a16="http://schemas.microsoft.com/office/drawing/2014/main" id="{0797D75C-7188-684D-A111-B2BD7CD8BB6D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2061" name="AutoShape 13">
          <a:extLst>
            <a:ext uri="{FF2B5EF4-FFF2-40B4-BE49-F238E27FC236}">
              <a16:creationId xmlns:a16="http://schemas.microsoft.com/office/drawing/2014/main" id="{6C756780-D2B5-864F-AABB-5BAE45EA4D18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2062" name="AutoShape 14">
          <a:extLst>
            <a:ext uri="{FF2B5EF4-FFF2-40B4-BE49-F238E27FC236}">
              <a16:creationId xmlns:a16="http://schemas.microsoft.com/office/drawing/2014/main" id="{783FF162-732B-F144-A7A7-45D4D32F7B4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2063" name="AutoShape 15">
          <a:extLst>
            <a:ext uri="{FF2B5EF4-FFF2-40B4-BE49-F238E27FC236}">
              <a16:creationId xmlns:a16="http://schemas.microsoft.com/office/drawing/2014/main" id="{847A0B2A-1ABF-D44B-B293-C93B4FC9B8F6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2064" name="AutoShape 16">
          <a:extLst>
            <a:ext uri="{FF2B5EF4-FFF2-40B4-BE49-F238E27FC236}">
              <a16:creationId xmlns:a16="http://schemas.microsoft.com/office/drawing/2014/main" id="{6D6BD019-DF4A-3F43-9827-9934753AC27F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2065" name="AutoShape 17">
          <a:extLst>
            <a:ext uri="{FF2B5EF4-FFF2-40B4-BE49-F238E27FC236}">
              <a16:creationId xmlns:a16="http://schemas.microsoft.com/office/drawing/2014/main" id="{ACBE2CBB-A557-CE4B-BB69-EA8371FD38F7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2066" name="AutoShape 18">
          <a:extLst>
            <a:ext uri="{FF2B5EF4-FFF2-40B4-BE49-F238E27FC236}">
              <a16:creationId xmlns:a16="http://schemas.microsoft.com/office/drawing/2014/main" id="{CACC6A09-B8D8-214D-8C5B-5463255624D0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67" name="AutoShape 19">
          <a:extLst>
            <a:ext uri="{FF2B5EF4-FFF2-40B4-BE49-F238E27FC236}">
              <a16:creationId xmlns:a16="http://schemas.microsoft.com/office/drawing/2014/main" id="{DB95C720-9F5C-3247-93E7-119FAF27B447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068" name="AutoShape 20">
          <a:extLst>
            <a:ext uri="{FF2B5EF4-FFF2-40B4-BE49-F238E27FC236}">
              <a16:creationId xmlns:a16="http://schemas.microsoft.com/office/drawing/2014/main" id="{63F613CA-DE50-A548-889E-DC7517B04DE5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069" name="AutoShape 21">
          <a:extLst>
            <a:ext uri="{FF2B5EF4-FFF2-40B4-BE49-F238E27FC236}">
              <a16:creationId xmlns:a16="http://schemas.microsoft.com/office/drawing/2014/main" id="{B540F79E-DD01-C441-B6D0-19433BD36310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070" name="AutoShape 22">
          <a:extLst>
            <a:ext uri="{FF2B5EF4-FFF2-40B4-BE49-F238E27FC236}">
              <a16:creationId xmlns:a16="http://schemas.microsoft.com/office/drawing/2014/main" id="{91020991-CB34-F148-86BE-C12E9E719414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071" name="AutoShape 23">
          <a:extLst>
            <a:ext uri="{FF2B5EF4-FFF2-40B4-BE49-F238E27FC236}">
              <a16:creationId xmlns:a16="http://schemas.microsoft.com/office/drawing/2014/main" id="{4C4A14D8-24DC-AE48-A205-E15D239CA9C6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072" name="AutoShape 24">
          <a:extLst>
            <a:ext uri="{FF2B5EF4-FFF2-40B4-BE49-F238E27FC236}">
              <a16:creationId xmlns:a16="http://schemas.microsoft.com/office/drawing/2014/main" id="{EF398FEB-C205-F24A-A30D-9DE3294E145D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073" name="AutoShape 25">
          <a:extLst>
            <a:ext uri="{FF2B5EF4-FFF2-40B4-BE49-F238E27FC236}">
              <a16:creationId xmlns:a16="http://schemas.microsoft.com/office/drawing/2014/main" id="{EE080E0B-84F9-5B42-B36F-0A0668AF4283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074" name="AutoShape 26">
          <a:extLst>
            <a:ext uri="{FF2B5EF4-FFF2-40B4-BE49-F238E27FC236}">
              <a16:creationId xmlns:a16="http://schemas.microsoft.com/office/drawing/2014/main" id="{EB17ECBD-2CF0-6947-92DD-6673BCE5E34D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075" name="AutoShape 27">
          <a:extLst>
            <a:ext uri="{FF2B5EF4-FFF2-40B4-BE49-F238E27FC236}">
              <a16:creationId xmlns:a16="http://schemas.microsoft.com/office/drawing/2014/main" id="{A773A6E5-33BD-EA45-9EFE-C443F99471A8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076" name="AutoShape 28">
          <a:extLst>
            <a:ext uri="{FF2B5EF4-FFF2-40B4-BE49-F238E27FC236}">
              <a16:creationId xmlns:a16="http://schemas.microsoft.com/office/drawing/2014/main" id="{C53B6C80-F700-504E-B956-F6FFFC96B64E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2077" name="AutoShape 29">
          <a:extLst>
            <a:ext uri="{FF2B5EF4-FFF2-40B4-BE49-F238E27FC236}">
              <a16:creationId xmlns:a16="http://schemas.microsoft.com/office/drawing/2014/main" id="{1E2781B0-90B1-6B48-AF59-14BEF2F19D0D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2078" name="AutoShape 30">
          <a:extLst>
            <a:ext uri="{FF2B5EF4-FFF2-40B4-BE49-F238E27FC236}">
              <a16:creationId xmlns:a16="http://schemas.microsoft.com/office/drawing/2014/main" id="{2FFDB572-DD3A-4847-BAE4-90695AC26F3A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2079" name="AutoShape 31">
          <a:extLst>
            <a:ext uri="{FF2B5EF4-FFF2-40B4-BE49-F238E27FC236}">
              <a16:creationId xmlns:a16="http://schemas.microsoft.com/office/drawing/2014/main" id="{F750FC7A-72E2-FC4D-A300-A1BF89849C91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2080" name="AutoShape 32">
          <a:extLst>
            <a:ext uri="{FF2B5EF4-FFF2-40B4-BE49-F238E27FC236}">
              <a16:creationId xmlns:a16="http://schemas.microsoft.com/office/drawing/2014/main" id="{4B6FF4F4-1763-5645-A97E-93C0ADA82837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081" name="AutoShape 33">
          <a:extLst>
            <a:ext uri="{FF2B5EF4-FFF2-40B4-BE49-F238E27FC236}">
              <a16:creationId xmlns:a16="http://schemas.microsoft.com/office/drawing/2014/main" id="{4669214E-31E3-4F41-98E9-D6DE994FE30A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2082" name="AutoShape 34">
          <a:extLst>
            <a:ext uri="{FF2B5EF4-FFF2-40B4-BE49-F238E27FC236}">
              <a16:creationId xmlns:a16="http://schemas.microsoft.com/office/drawing/2014/main" id="{152BE905-EB08-3644-8FB4-DBEE592A1D06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2083" name="AutoShape 35">
          <a:extLst>
            <a:ext uri="{FF2B5EF4-FFF2-40B4-BE49-F238E27FC236}">
              <a16:creationId xmlns:a16="http://schemas.microsoft.com/office/drawing/2014/main" id="{0735C08D-01E3-8048-A609-243D9F4E349E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2084" name="AutoShape 36">
          <a:extLst>
            <a:ext uri="{FF2B5EF4-FFF2-40B4-BE49-F238E27FC236}">
              <a16:creationId xmlns:a16="http://schemas.microsoft.com/office/drawing/2014/main" id="{CC79402D-7125-694B-AC23-58FA1A295B1E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2085" name="AutoShape 37">
          <a:extLst>
            <a:ext uri="{FF2B5EF4-FFF2-40B4-BE49-F238E27FC236}">
              <a16:creationId xmlns:a16="http://schemas.microsoft.com/office/drawing/2014/main" id="{2E6A5ACB-2046-9F43-8E0F-6EE359C7108E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2086" name="AutoShape 38">
          <a:extLst>
            <a:ext uri="{FF2B5EF4-FFF2-40B4-BE49-F238E27FC236}">
              <a16:creationId xmlns:a16="http://schemas.microsoft.com/office/drawing/2014/main" id="{F5FEFAD2-B84D-B24E-BEC7-C16E2656709F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2087" name="AutoShape 39">
          <a:extLst>
            <a:ext uri="{FF2B5EF4-FFF2-40B4-BE49-F238E27FC236}">
              <a16:creationId xmlns:a16="http://schemas.microsoft.com/office/drawing/2014/main" id="{974AFB8B-36E2-0945-8F5C-07167C519A29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2088" name="AutoShape 40">
          <a:extLst>
            <a:ext uri="{FF2B5EF4-FFF2-40B4-BE49-F238E27FC236}">
              <a16:creationId xmlns:a16="http://schemas.microsoft.com/office/drawing/2014/main" id="{0BFEB61A-EE28-784B-A741-DCDED5837DFF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2089" name="AutoShape 41">
          <a:extLst>
            <a:ext uri="{FF2B5EF4-FFF2-40B4-BE49-F238E27FC236}">
              <a16:creationId xmlns:a16="http://schemas.microsoft.com/office/drawing/2014/main" id="{C58075AE-344C-764F-A364-C86ADB0AA1E4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2090" name="AutoShape 42">
          <a:extLst>
            <a:ext uri="{FF2B5EF4-FFF2-40B4-BE49-F238E27FC236}">
              <a16:creationId xmlns:a16="http://schemas.microsoft.com/office/drawing/2014/main" id="{B2AD4981-9B37-6C4B-964B-84A0F595D868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2091" name="AutoShape 43">
          <a:extLst>
            <a:ext uri="{FF2B5EF4-FFF2-40B4-BE49-F238E27FC236}">
              <a16:creationId xmlns:a16="http://schemas.microsoft.com/office/drawing/2014/main" id="{8D2BDEB5-395E-C24D-87EB-F4E965FAA96E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2092" name="AutoShape 44">
          <a:extLst>
            <a:ext uri="{FF2B5EF4-FFF2-40B4-BE49-F238E27FC236}">
              <a16:creationId xmlns:a16="http://schemas.microsoft.com/office/drawing/2014/main" id="{DD27BD43-1F75-CB44-9FE8-0853E10178CB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2093" name="AutoShape 45">
          <a:extLst>
            <a:ext uri="{FF2B5EF4-FFF2-40B4-BE49-F238E27FC236}">
              <a16:creationId xmlns:a16="http://schemas.microsoft.com/office/drawing/2014/main" id="{80CEDAF1-F650-9242-8A55-FFE07119EB06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2094" name="AutoShape 46">
          <a:extLst>
            <a:ext uri="{FF2B5EF4-FFF2-40B4-BE49-F238E27FC236}">
              <a16:creationId xmlns:a16="http://schemas.microsoft.com/office/drawing/2014/main" id="{B67038D6-65B3-8640-8AA5-F3DBCE081535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2095" name="AutoShape 47">
          <a:extLst>
            <a:ext uri="{FF2B5EF4-FFF2-40B4-BE49-F238E27FC236}">
              <a16:creationId xmlns:a16="http://schemas.microsoft.com/office/drawing/2014/main" id="{1ADCB1FF-8225-3046-925D-431C40B1148D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2096" name="AutoShape 48">
          <a:extLst>
            <a:ext uri="{FF2B5EF4-FFF2-40B4-BE49-F238E27FC236}">
              <a16:creationId xmlns:a16="http://schemas.microsoft.com/office/drawing/2014/main" id="{0EC608FE-CA90-1749-A6C6-7689EDE93401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2097" name="AutoShape 49">
          <a:extLst>
            <a:ext uri="{FF2B5EF4-FFF2-40B4-BE49-F238E27FC236}">
              <a16:creationId xmlns:a16="http://schemas.microsoft.com/office/drawing/2014/main" id="{C9019580-E7CD-8441-B3E2-FECC451D408F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2098" name="AutoShape 50">
          <a:extLst>
            <a:ext uri="{FF2B5EF4-FFF2-40B4-BE49-F238E27FC236}">
              <a16:creationId xmlns:a16="http://schemas.microsoft.com/office/drawing/2014/main" id="{59DD7CF2-3621-3340-BC44-167709C664E6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099" name="AutoShape 51">
          <a:extLst>
            <a:ext uri="{FF2B5EF4-FFF2-40B4-BE49-F238E27FC236}">
              <a16:creationId xmlns:a16="http://schemas.microsoft.com/office/drawing/2014/main" id="{7165098D-00C6-5F4A-8F91-6B6CEF08ACE8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00" name="AutoShape 52">
          <a:extLst>
            <a:ext uri="{FF2B5EF4-FFF2-40B4-BE49-F238E27FC236}">
              <a16:creationId xmlns:a16="http://schemas.microsoft.com/office/drawing/2014/main" id="{357E0A4C-C645-3843-B190-CF49869AD575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101" name="AutoShape 53">
          <a:extLst>
            <a:ext uri="{FF2B5EF4-FFF2-40B4-BE49-F238E27FC236}">
              <a16:creationId xmlns:a16="http://schemas.microsoft.com/office/drawing/2014/main" id="{26413830-A127-0041-BFF3-7FC6F9C1FA53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102" name="AutoShape 54">
          <a:extLst>
            <a:ext uri="{FF2B5EF4-FFF2-40B4-BE49-F238E27FC236}">
              <a16:creationId xmlns:a16="http://schemas.microsoft.com/office/drawing/2014/main" id="{FDF55D68-1EB3-4E4F-8E3B-43860B2C10C1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103" name="AutoShape 55">
          <a:extLst>
            <a:ext uri="{FF2B5EF4-FFF2-40B4-BE49-F238E27FC236}">
              <a16:creationId xmlns:a16="http://schemas.microsoft.com/office/drawing/2014/main" id="{9753FD16-8C79-3F45-88EA-7D14F094996B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104" name="AutoShape 56">
          <a:extLst>
            <a:ext uri="{FF2B5EF4-FFF2-40B4-BE49-F238E27FC236}">
              <a16:creationId xmlns:a16="http://schemas.microsoft.com/office/drawing/2014/main" id="{04902DBE-9731-094E-8E77-FE853BABA480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105" name="AutoShape 57">
          <a:extLst>
            <a:ext uri="{FF2B5EF4-FFF2-40B4-BE49-F238E27FC236}">
              <a16:creationId xmlns:a16="http://schemas.microsoft.com/office/drawing/2014/main" id="{20D1E863-F3EC-124F-A73A-16143E95D612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106" name="AutoShape 58">
          <a:extLst>
            <a:ext uri="{FF2B5EF4-FFF2-40B4-BE49-F238E27FC236}">
              <a16:creationId xmlns:a16="http://schemas.microsoft.com/office/drawing/2014/main" id="{D5C5CD54-C8F9-414B-BFBD-A1C8D211C884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107" name="AutoShape 59">
          <a:extLst>
            <a:ext uri="{FF2B5EF4-FFF2-40B4-BE49-F238E27FC236}">
              <a16:creationId xmlns:a16="http://schemas.microsoft.com/office/drawing/2014/main" id="{734D07FE-C5B8-7342-8D06-EECCEB2B19C6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108" name="AutoShape 60">
          <a:extLst>
            <a:ext uri="{FF2B5EF4-FFF2-40B4-BE49-F238E27FC236}">
              <a16:creationId xmlns:a16="http://schemas.microsoft.com/office/drawing/2014/main" id="{A7939C10-FA92-3E4D-B79B-8F1229C325B3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2109" name="AutoShape 61">
          <a:extLst>
            <a:ext uri="{FF2B5EF4-FFF2-40B4-BE49-F238E27FC236}">
              <a16:creationId xmlns:a16="http://schemas.microsoft.com/office/drawing/2014/main" id="{AD3A0AC8-6536-2A4A-8931-7B33DD6EFAE5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2110" name="AutoShape 62">
          <a:extLst>
            <a:ext uri="{FF2B5EF4-FFF2-40B4-BE49-F238E27FC236}">
              <a16:creationId xmlns:a16="http://schemas.microsoft.com/office/drawing/2014/main" id="{8F6FACAF-D0B2-5948-B097-417C97559F99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2111" name="AutoShape 63">
          <a:extLst>
            <a:ext uri="{FF2B5EF4-FFF2-40B4-BE49-F238E27FC236}">
              <a16:creationId xmlns:a16="http://schemas.microsoft.com/office/drawing/2014/main" id="{C253F59C-6829-3540-8466-442AD4B09E05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2112" name="AutoShape 64">
          <a:extLst>
            <a:ext uri="{FF2B5EF4-FFF2-40B4-BE49-F238E27FC236}">
              <a16:creationId xmlns:a16="http://schemas.microsoft.com/office/drawing/2014/main" id="{774B4D40-F73D-A849-B274-675010EF126E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2113" name="AutoShape 65">
          <a:extLst>
            <a:ext uri="{FF2B5EF4-FFF2-40B4-BE49-F238E27FC236}">
              <a16:creationId xmlns:a16="http://schemas.microsoft.com/office/drawing/2014/main" id="{E3BD8E4A-34F5-C64B-B7C8-677D790DDC76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2114" name="AutoShape 66">
          <a:extLst>
            <a:ext uri="{FF2B5EF4-FFF2-40B4-BE49-F238E27FC236}">
              <a16:creationId xmlns:a16="http://schemas.microsoft.com/office/drawing/2014/main" id="{F40B3935-7F8B-4B4A-B4A1-7F33AE7D6BA7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2115" name="AutoShape 67">
          <a:extLst>
            <a:ext uri="{FF2B5EF4-FFF2-40B4-BE49-F238E27FC236}">
              <a16:creationId xmlns:a16="http://schemas.microsoft.com/office/drawing/2014/main" id="{E940AFBE-F955-384F-B973-C8D5C0A8CD0C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2116" name="AutoShape 68">
          <a:extLst>
            <a:ext uri="{FF2B5EF4-FFF2-40B4-BE49-F238E27FC236}">
              <a16:creationId xmlns:a16="http://schemas.microsoft.com/office/drawing/2014/main" id="{A6FCF34E-3D67-2248-AC23-6811DDF594EF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2117" name="AutoShape 69">
          <a:extLst>
            <a:ext uri="{FF2B5EF4-FFF2-40B4-BE49-F238E27FC236}">
              <a16:creationId xmlns:a16="http://schemas.microsoft.com/office/drawing/2014/main" id="{6ACC89B3-A86E-744C-BDF5-51715000A1EC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2118" name="AutoShape 70">
          <a:extLst>
            <a:ext uri="{FF2B5EF4-FFF2-40B4-BE49-F238E27FC236}">
              <a16:creationId xmlns:a16="http://schemas.microsoft.com/office/drawing/2014/main" id="{069D19C3-99C3-CB4C-A23C-FE01E309FA99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2119" name="AutoShape 71">
          <a:extLst>
            <a:ext uri="{FF2B5EF4-FFF2-40B4-BE49-F238E27FC236}">
              <a16:creationId xmlns:a16="http://schemas.microsoft.com/office/drawing/2014/main" id="{F658AE5F-7DDD-AB42-9329-743937263F90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2120" name="AutoShape 72">
          <a:extLst>
            <a:ext uri="{FF2B5EF4-FFF2-40B4-BE49-F238E27FC236}">
              <a16:creationId xmlns:a16="http://schemas.microsoft.com/office/drawing/2014/main" id="{F98E2595-2070-DE47-8FD5-A5CEB78839BD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2121" name="AutoShape 73">
          <a:extLst>
            <a:ext uri="{FF2B5EF4-FFF2-40B4-BE49-F238E27FC236}">
              <a16:creationId xmlns:a16="http://schemas.microsoft.com/office/drawing/2014/main" id="{5E022D56-2493-B24D-8B9D-95AB2C29C0A8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2122" name="AutoShape 74">
          <a:extLst>
            <a:ext uri="{FF2B5EF4-FFF2-40B4-BE49-F238E27FC236}">
              <a16:creationId xmlns:a16="http://schemas.microsoft.com/office/drawing/2014/main" id="{B7F178E6-49DD-6A4A-AD15-E41222A0FDB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2123" name="AutoShape 75">
          <a:extLst>
            <a:ext uri="{FF2B5EF4-FFF2-40B4-BE49-F238E27FC236}">
              <a16:creationId xmlns:a16="http://schemas.microsoft.com/office/drawing/2014/main" id="{70570B15-0686-4B47-84DD-7AE90031E56A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2124" name="AutoShape 76">
          <a:extLst>
            <a:ext uri="{FF2B5EF4-FFF2-40B4-BE49-F238E27FC236}">
              <a16:creationId xmlns:a16="http://schemas.microsoft.com/office/drawing/2014/main" id="{A4A03DFD-FE02-3E40-A1C1-A8D568418E1D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2125" name="AutoShape 77">
          <a:extLst>
            <a:ext uri="{FF2B5EF4-FFF2-40B4-BE49-F238E27FC236}">
              <a16:creationId xmlns:a16="http://schemas.microsoft.com/office/drawing/2014/main" id="{B06B4996-4559-0346-8AA7-DCB070517E56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2126" name="AutoShape 78">
          <a:extLst>
            <a:ext uri="{FF2B5EF4-FFF2-40B4-BE49-F238E27FC236}">
              <a16:creationId xmlns:a16="http://schemas.microsoft.com/office/drawing/2014/main" id="{DEB59018-3DFC-BE42-B770-AA718D537DC4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2127" name="AutoShape 79">
          <a:extLst>
            <a:ext uri="{FF2B5EF4-FFF2-40B4-BE49-F238E27FC236}">
              <a16:creationId xmlns:a16="http://schemas.microsoft.com/office/drawing/2014/main" id="{7BDAD76E-A660-7343-AA82-6503A6F40215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2128" name="AutoShape 80">
          <a:extLst>
            <a:ext uri="{FF2B5EF4-FFF2-40B4-BE49-F238E27FC236}">
              <a16:creationId xmlns:a16="http://schemas.microsoft.com/office/drawing/2014/main" id="{9B99E236-4224-BD49-8E60-CDC44FB150A4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2129" name="AutoShape 81">
          <a:extLst>
            <a:ext uri="{FF2B5EF4-FFF2-40B4-BE49-F238E27FC236}">
              <a16:creationId xmlns:a16="http://schemas.microsoft.com/office/drawing/2014/main" id="{B2DBA9A3-E602-2541-BA9A-E138FD18685B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2130" name="AutoShape 82">
          <a:extLst>
            <a:ext uri="{FF2B5EF4-FFF2-40B4-BE49-F238E27FC236}">
              <a16:creationId xmlns:a16="http://schemas.microsoft.com/office/drawing/2014/main" id="{DA82EEF4-F9B5-D44A-8317-A703FA073EDB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2131" name="AutoShape 83">
          <a:extLst>
            <a:ext uri="{FF2B5EF4-FFF2-40B4-BE49-F238E27FC236}">
              <a16:creationId xmlns:a16="http://schemas.microsoft.com/office/drawing/2014/main" id="{FD483692-5595-0840-871B-13724A30DA36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2132" name="AutoShape 84">
          <a:extLst>
            <a:ext uri="{FF2B5EF4-FFF2-40B4-BE49-F238E27FC236}">
              <a16:creationId xmlns:a16="http://schemas.microsoft.com/office/drawing/2014/main" id="{E89E9BFB-82E3-1F4B-8737-62C6B6926C95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2133" name="AutoShape 85">
          <a:extLst>
            <a:ext uri="{FF2B5EF4-FFF2-40B4-BE49-F238E27FC236}">
              <a16:creationId xmlns:a16="http://schemas.microsoft.com/office/drawing/2014/main" id="{13A4206F-283C-0E47-B194-863B292FD844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2134" name="AutoShape 86">
          <a:extLst>
            <a:ext uri="{FF2B5EF4-FFF2-40B4-BE49-F238E27FC236}">
              <a16:creationId xmlns:a16="http://schemas.microsoft.com/office/drawing/2014/main" id="{8A8291DA-DDC0-D44A-936D-2409FFCA78C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2135" name="AutoShape 87">
          <a:extLst>
            <a:ext uri="{FF2B5EF4-FFF2-40B4-BE49-F238E27FC236}">
              <a16:creationId xmlns:a16="http://schemas.microsoft.com/office/drawing/2014/main" id="{9D067DD9-D37C-4647-80BE-BE0760C4F408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2136" name="AutoShape 88">
          <a:extLst>
            <a:ext uri="{FF2B5EF4-FFF2-40B4-BE49-F238E27FC236}">
              <a16:creationId xmlns:a16="http://schemas.microsoft.com/office/drawing/2014/main" id="{1D7E03E3-9B0F-7143-A8E3-90E7F5AF38B8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2137" name="AutoShape 89">
          <a:extLst>
            <a:ext uri="{FF2B5EF4-FFF2-40B4-BE49-F238E27FC236}">
              <a16:creationId xmlns:a16="http://schemas.microsoft.com/office/drawing/2014/main" id="{724333B2-EB37-D74F-924A-FC0ADA94CC67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2138" name="AutoShape 90">
          <a:extLst>
            <a:ext uri="{FF2B5EF4-FFF2-40B4-BE49-F238E27FC236}">
              <a16:creationId xmlns:a16="http://schemas.microsoft.com/office/drawing/2014/main" id="{0EBE5252-4786-6242-B6DB-E5503FA00BE4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2139" name="AutoShape 91">
          <a:extLst>
            <a:ext uri="{FF2B5EF4-FFF2-40B4-BE49-F238E27FC236}">
              <a16:creationId xmlns:a16="http://schemas.microsoft.com/office/drawing/2014/main" id="{F20CFDFD-E426-DC4B-8DE4-F4624E003B7A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2140" name="AutoShape 92">
          <a:extLst>
            <a:ext uri="{FF2B5EF4-FFF2-40B4-BE49-F238E27FC236}">
              <a16:creationId xmlns:a16="http://schemas.microsoft.com/office/drawing/2014/main" id="{248478C2-583B-DC41-945F-5B632926E449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2141" name="AutoShape 93">
          <a:extLst>
            <a:ext uri="{FF2B5EF4-FFF2-40B4-BE49-F238E27FC236}">
              <a16:creationId xmlns:a16="http://schemas.microsoft.com/office/drawing/2014/main" id="{AEBE2BC1-5EFB-E342-A7BD-1693B62B6047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2142" name="AutoShape 94">
          <a:extLst>
            <a:ext uri="{FF2B5EF4-FFF2-40B4-BE49-F238E27FC236}">
              <a16:creationId xmlns:a16="http://schemas.microsoft.com/office/drawing/2014/main" id="{1BC82134-2C40-C941-B750-5D9B4B0C3BA5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2143" name="AutoShape 95">
          <a:extLst>
            <a:ext uri="{FF2B5EF4-FFF2-40B4-BE49-F238E27FC236}">
              <a16:creationId xmlns:a16="http://schemas.microsoft.com/office/drawing/2014/main" id="{0B2D4CDB-FFA9-4E45-9BC2-1F92C693A0F8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2144" name="AutoShape 96">
          <a:extLst>
            <a:ext uri="{FF2B5EF4-FFF2-40B4-BE49-F238E27FC236}">
              <a16:creationId xmlns:a16="http://schemas.microsoft.com/office/drawing/2014/main" id="{72A5D494-8FB2-9743-A24E-F4B44A283856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570AC3DE-936B-E54D-BD01-D30223FEF191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5122" name="AutoShape 2">
          <a:extLst>
            <a:ext uri="{FF2B5EF4-FFF2-40B4-BE49-F238E27FC236}">
              <a16:creationId xmlns:a16="http://schemas.microsoft.com/office/drawing/2014/main" id="{91376415-15CD-C74A-B143-A7F157359934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5123" name="AutoShape 3">
          <a:extLst>
            <a:ext uri="{FF2B5EF4-FFF2-40B4-BE49-F238E27FC236}">
              <a16:creationId xmlns:a16="http://schemas.microsoft.com/office/drawing/2014/main" id="{9404717E-A001-6F4D-ACB9-A7C8A47749B0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124" name="AutoShape 4">
          <a:extLst>
            <a:ext uri="{FF2B5EF4-FFF2-40B4-BE49-F238E27FC236}">
              <a16:creationId xmlns:a16="http://schemas.microsoft.com/office/drawing/2014/main" id="{A6E70172-E165-A848-8AA8-40C6AC5D7927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5125" name="AutoShape 5">
          <a:extLst>
            <a:ext uri="{FF2B5EF4-FFF2-40B4-BE49-F238E27FC236}">
              <a16:creationId xmlns:a16="http://schemas.microsoft.com/office/drawing/2014/main" id="{03DA94C1-27CD-1949-A54D-9B48BCC5333D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B3A5F098-532B-C946-97CA-676A5CE6D18C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17CEE920-A47C-4E46-839D-1DF7270014B8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70479C2C-86A8-D349-AAAA-98AE7A275B3F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FF04C64C-AB0A-DA4B-8E01-FB26C262BC69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2E46F7DD-57F1-BA44-BD85-73BA1148297D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5131" name="AutoShape 11">
          <a:extLst>
            <a:ext uri="{FF2B5EF4-FFF2-40B4-BE49-F238E27FC236}">
              <a16:creationId xmlns:a16="http://schemas.microsoft.com/office/drawing/2014/main" id="{314F716B-C803-4B4B-89A6-838E466E34C2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5132" name="AutoShape 12">
          <a:extLst>
            <a:ext uri="{FF2B5EF4-FFF2-40B4-BE49-F238E27FC236}">
              <a16:creationId xmlns:a16="http://schemas.microsoft.com/office/drawing/2014/main" id="{FD77BDDC-DB62-B444-AA10-977AA4181BFB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5133" name="AutoShape 13">
          <a:extLst>
            <a:ext uri="{FF2B5EF4-FFF2-40B4-BE49-F238E27FC236}">
              <a16:creationId xmlns:a16="http://schemas.microsoft.com/office/drawing/2014/main" id="{BC1F1D47-7F98-0D44-870C-AD6C48EE11D7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5134" name="AutoShape 14">
          <a:extLst>
            <a:ext uri="{FF2B5EF4-FFF2-40B4-BE49-F238E27FC236}">
              <a16:creationId xmlns:a16="http://schemas.microsoft.com/office/drawing/2014/main" id="{839AEA9C-8B05-5A42-8254-6155EC12485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084ACCF3-4602-CC4E-B16F-EDDD53D215A7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89F6F8CB-3A92-4C4D-922F-8BD39AAD72A6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D5864045-6FD7-AF48-A711-30893F098B8B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06B982F4-FCA3-634F-9317-AC2DD7CEEEEF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B03E9F81-3803-9A4F-8315-BC8B4A36F9D6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A4BABA39-D978-1A48-8BD7-C13CD84C09AE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5141" name="AutoShape 21">
          <a:extLst>
            <a:ext uri="{FF2B5EF4-FFF2-40B4-BE49-F238E27FC236}">
              <a16:creationId xmlns:a16="http://schemas.microsoft.com/office/drawing/2014/main" id="{3E40EA90-0791-184A-A249-037E28EA2557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DA6EBEB3-D4B8-B242-92AA-58CB0BF0702D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E858BA25-A4BD-2445-B2F7-8D7B7B06E2E6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E1FD501C-1B1C-2E41-9218-90D2633AAA60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0612809F-D6E6-1B42-920F-306EB79440CE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33564C15-0401-214C-AC69-6212F91F788D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A85D1ECF-714F-EC4B-9686-40FD31B370B5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1BE86686-CA5E-A149-8EA4-46AB01BE122E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25113437-35DD-7A4D-B06B-F929738EF1C6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0D0ECE40-DBF7-524D-8F9F-970E7B97BBF9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B982188A-D6BB-DE46-8562-ED064DC37056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49C4EEB0-D438-F24C-A059-287E20E69E49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B7B55D8D-A286-6048-8EE3-857CF7AFF4EF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878F01DD-9EA3-404E-8A1B-9A12E6B21D1B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5485A052-E16A-E64A-B4DD-091BAD56B617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2D8B5A4A-D507-F044-AAC8-B7B4124D049A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99A14B49-DA54-C64D-A3EC-E5A9103E0D00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9E9A6235-A279-7D4E-818F-BB6E7F1F8E20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F696CCDA-DEF2-4343-9830-324614F01FD9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CC28B008-28B9-B640-ACD9-BC81BCB63552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FEF64A20-F8CF-B046-809D-74E3BA5E7EF6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992632D7-80D1-7042-A999-4EAF22B3E869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E4EE71F8-DFEE-1948-8F2A-FA01BD54EA1A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7F55C0BB-9818-2049-A8DE-AB6F6D913328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54E2E57E-0EF6-8C45-9B95-60A1EB874C05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5B896F43-510C-204E-AB98-7F62FE99615A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7B924623-1398-1D44-8D7D-8DAE4A7C1252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03BFD09C-99AE-5243-89BD-522BEA7B78E9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EC992B44-E5CC-BB41-BD16-A83FD364C04A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7BD18706-783F-774F-9012-03E4F84143F1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6666EEA8-1DC5-7E4E-BC48-A95B830FFC81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9C134176-E83F-414C-91D3-E6C875A4ECEC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F5A1434F-F281-CB49-9C5F-4F8385970C8D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8625E45B-21C4-7E42-9E52-99FBDAF055DD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8CB65117-25C2-7548-BBAB-157C04F1E9B7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C4504179-C27B-D04A-A77F-2C5320F6EE23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57A36285-652D-9B4B-8B4A-B6486F9BEF4F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C99AD75B-B9A3-FA46-B840-103DA0C42019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3B77D66A-F388-1143-BB26-21DCE671C1BA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45842245-38ED-7E49-B2B7-E022BC7FFBB5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D801B13C-E910-5143-BC2B-7681EFCC48A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3586376C-3CC4-504A-9B54-044999434265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5B57579A-19ED-2643-9EF8-4384ECC1D791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1E2681A5-322C-094B-BE5E-AADA9028CB77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3073" name="AutoShape 1">
          <a:extLst>
            <a:ext uri="{FF2B5EF4-FFF2-40B4-BE49-F238E27FC236}">
              <a16:creationId xmlns:a16="http://schemas.microsoft.com/office/drawing/2014/main" id="{21C36AAE-86FD-524C-B984-FC19976F6511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074" name="AutoShape 2">
          <a:extLst>
            <a:ext uri="{FF2B5EF4-FFF2-40B4-BE49-F238E27FC236}">
              <a16:creationId xmlns:a16="http://schemas.microsoft.com/office/drawing/2014/main" id="{D1101B46-699E-9740-9858-114C553A78BD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3075" name="AutoShape 3">
          <a:extLst>
            <a:ext uri="{FF2B5EF4-FFF2-40B4-BE49-F238E27FC236}">
              <a16:creationId xmlns:a16="http://schemas.microsoft.com/office/drawing/2014/main" id="{827B23F9-2A45-9E4F-8593-4DFF1079D6B2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3076" name="AutoShape 4">
          <a:extLst>
            <a:ext uri="{FF2B5EF4-FFF2-40B4-BE49-F238E27FC236}">
              <a16:creationId xmlns:a16="http://schemas.microsoft.com/office/drawing/2014/main" id="{C0D5FB6F-B3E6-7544-A8AE-07E77DA30741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3077" name="AutoShape 5">
          <a:extLst>
            <a:ext uri="{FF2B5EF4-FFF2-40B4-BE49-F238E27FC236}">
              <a16:creationId xmlns:a16="http://schemas.microsoft.com/office/drawing/2014/main" id="{770F5914-F7E2-A748-A833-F8DA969EF435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3078" name="AutoShape 6">
          <a:extLst>
            <a:ext uri="{FF2B5EF4-FFF2-40B4-BE49-F238E27FC236}">
              <a16:creationId xmlns:a16="http://schemas.microsoft.com/office/drawing/2014/main" id="{E551D3B1-A244-7A4F-9F8A-B18FA7A05BBC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2145155F-8A31-B448-9FA7-C3BB78CBED40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3080" name="AutoShape 8">
          <a:extLst>
            <a:ext uri="{FF2B5EF4-FFF2-40B4-BE49-F238E27FC236}">
              <a16:creationId xmlns:a16="http://schemas.microsoft.com/office/drawing/2014/main" id="{BAA8A494-8F11-3E46-B300-AA9AEA54A857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3081" name="AutoShape 9">
          <a:extLst>
            <a:ext uri="{FF2B5EF4-FFF2-40B4-BE49-F238E27FC236}">
              <a16:creationId xmlns:a16="http://schemas.microsoft.com/office/drawing/2014/main" id="{B5D687A1-16F5-054A-A678-BA2B0D13D790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3082" name="AutoShape 10">
          <a:extLst>
            <a:ext uri="{FF2B5EF4-FFF2-40B4-BE49-F238E27FC236}">
              <a16:creationId xmlns:a16="http://schemas.microsoft.com/office/drawing/2014/main" id="{9E358EBB-E78D-A945-B192-0E67A8424B34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3083" name="AutoShape 11">
          <a:extLst>
            <a:ext uri="{FF2B5EF4-FFF2-40B4-BE49-F238E27FC236}">
              <a16:creationId xmlns:a16="http://schemas.microsoft.com/office/drawing/2014/main" id="{92602540-7F22-B94F-A1E7-F7CF91D45F8E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3084" name="AutoShape 12">
          <a:extLst>
            <a:ext uri="{FF2B5EF4-FFF2-40B4-BE49-F238E27FC236}">
              <a16:creationId xmlns:a16="http://schemas.microsoft.com/office/drawing/2014/main" id="{D3EBB15E-C14A-6241-BCA4-C5E205BD0022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3085" name="AutoShape 13">
          <a:extLst>
            <a:ext uri="{FF2B5EF4-FFF2-40B4-BE49-F238E27FC236}">
              <a16:creationId xmlns:a16="http://schemas.microsoft.com/office/drawing/2014/main" id="{5C8F98A7-B5ED-D842-AAF0-B22C1B07162D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3086" name="AutoShape 14">
          <a:extLst>
            <a:ext uri="{FF2B5EF4-FFF2-40B4-BE49-F238E27FC236}">
              <a16:creationId xmlns:a16="http://schemas.microsoft.com/office/drawing/2014/main" id="{30511E9A-56E1-4D47-A538-228521D9BE6A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3087" name="AutoShape 15">
          <a:extLst>
            <a:ext uri="{FF2B5EF4-FFF2-40B4-BE49-F238E27FC236}">
              <a16:creationId xmlns:a16="http://schemas.microsoft.com/office/drawing/2014/main" id="{5469112C-6A34-6146-BF87-0606E4DA191C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3088" name="AutoShape 16">
          <a:extLst>
            <a:ext uri="{FF2B5EF4-FFF2-40B4-BE49-F238E27FC236}">
              <a16:creationId xmlns:a16="http://schemas.microsoft.com/office/drawing/2014/main" id="{F3CD1FC5-7D9C-5E49-A7C6-D4BD19206233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3089" name="AutoShape 17">
          <a:extLst>
            <a:ext uri="{FF2B5EF4-FFF2-40B4-BE49-F238E27FC236}">
              <a16:creationId xmlns:a16="http://schemas.microsoft.com/office/drawing/2014/main" id="{80705D78-EA01-8B43-8AC7-42DEE101C6B2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3090" name="AutoShape 18">
          <a:extLst>
            <a:ext uri="{FF2B5EF4-FFF2-40B4-BE49-F238E27FC236}">
              <a16:creationId xmlns:a16="http://schemas.microsoft.com/office/drawing/2014/main" id="{D01903E6-11D1-5B43-A04E-04444623BBBC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3091" name="AutoShape 19">
          <a:extLst>
            <a:ext uri="{FF2B5EF4-FFF2-40B4-BE49-F238E27FC236}">
              <a16:creationId xmlns:a16="http://schemas.microsoft.com/office/drawing/2014/main" id="{60157553-C633-6940-AC2C-8F7FE6102883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3092" name="AutoShape 20">
          <a:extLst>
            <a:ext uri="{FF2B5EF4-FFF2-40B4-BE49-F238E27FC236}">
              <a16:creationId xmlns:a16="http://schemas.microsoft.com/office/drawing/2014/main" id="{D6EB3E66-38DA-1241-80DE-2BA7D6A59FD4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3093" name="AutoShape 21">
          <a:extLst>
            <a:ext uri="{FF2B5EF4-FFF2-40B4-BE49-F238E27FC236}">
              <a16:creationId xmlns:a16="http://schemas.microsoft.com/office/drawing/2014/main" id="{23C97446-F85D-4442-81DF-56176F6F9A69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3094" name="AutoShape 22">
          <a:extLst>
            <a:ext uri="{FF2B5EF4-FFF2-40B4-BE49-F238E27FC236}">
              <a16:creationId xmlns:a16="http://schemas.microsoft.com/office/drawing/2014/main" id="{3220D4EF-DEBF-0241-B2DD-AC6E87D3F52A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3095" name="AutoShape 23">
          <a:extLst>
            <a:ext uri="{FF2B5EF4-FFF2-40B4-BE49-F238E27FC236}">
              <a16:creationId xmlns:a16="http://schemas.microsoft.com/office/drawing/2014/main" id="{037FA654-C61D-2D4A-872B-EC8FDBDAC2A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3096" name="AutoShape 24">
          <a:extLst>
            <a:ext uri="{FF2B5EF4-FFF2-40B4-BE49-F238E27FC236}">
              <a16:creationId xmlns:a16="http://schemas.microsoft.com/office/drawing/2014/main" id="{544F0C6F-DDCA-694D-9976-D9D5AADCE611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3097" name="AutoShape 25">
          <a:extLst>
            <a:ext uri="{FF2B5EF4-FFF2-40B4-BE49-F238E27FC236}">
              <a16:creationId xmlns:a16="http://schemas.microsoft.com/office/drawing/2014/main" id="{1F7DDD28-9960-1947-8217-438BF9A63DB5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3098" name="AutoShape 26">
          <a:extLst>
            <a:ext uri="{FF2B5EF4-FFF2-40B4-BE49-F238E27FC236}">
              <a16:creationId xmlns:a16="http://schemas.microsoft.com/office/drawing/2014/main" id="{9324EF8C-EE95-3E44-8054-4872635BB6C8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3099" name="AutoShape 27">
          <a:extLst>
            <a:ext uri="{FF2B5EF4-FFF2-40B4-BE49-F238E27FC236}">
              <a16:creationId xmlns:a16="http://schemas.microsoft.com/office/drawing/2014/main" id="{2BB18C05-9722-064B-B121-C0333589836F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3100" name="AutoShape 28">
          <a:extLst>
            <a:ext uri="{FF2B5EF4-FFF2-40B4-BE49-F238E27FC236}">
              <a16:creationId xmlns:a16="http://schemas.microsoft.com/office/drawing/2014/main" id="{87D93E8D-AF0B-4B45-A15B-121587088C6D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101" name="AutoShape 29">
          <a:extLst>
            <a:ext uri="{FF2B5EF4-FFF2-40B4-BE49-F238E27FC236}">
              <a16:creationId xmlns:a16="http://schemas.microsoft.com/office/drawing/2014/main" id="{11310744-E4E8-374B-B932-92FF7625C8D6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02" name="AutoShape 30">
          <a:extLst>
            <a:ext uri="{FF2B5EF4-FFF2-40B4-BE49-F238E27FC236}">
              <a16:creationId xmlns:a16="http://schemas.microsoft.com/office/drawing/2014/main" id="{F14621CB-619C-DD4A-B7A1-5B9C19BA494E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103" name="AutoShape 31">
          <a:extLst>
            <a:ext uri="{FF2B5EF4-FFF2-40B4-BE49-F238E27FC236}">
              <a16:creationId xmlns:a16="http://schemas.microsoft.com/office/drawing/2014/main" id="{7E6BEC63-C794-3D49-BD16-64C45185D621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104" name="AutoShape 32">
          <a:extLst>
            <a:ext uri="{FF2B5EF4-FFF2-40B4-BE49-F238E27FC236}">
              <a16:creationId xmlns:a16="http://schemas.microsoft.com/office/drawing/2014/main" id="{8EB0E743-562E-184C-ADBB-B4BAA07CA6B5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3105" name="AutoShape 33">
          <a:extLst>
            <a:ext uri="{FF2B5EF4-FFF2-40B4-BE49-F238E27FC236}">
              <a16:creationId xmlns:a16="http://schemas.microsoft.com/office/drawing/2014/main" id="{CF256831-B3AA-DE48-A071-2B0D1DCE22D8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3106" name="AutoShape 34">
          <a:extLst>
            <a:ext uri="{FF2B5EF4-FFF2-40B4-BE49-F238E27FC236}">
              <a16:creationId xmlns:a16="http://schemas.microsoft.com/office/drawing/2014/main" id="{30379913-5FEB-1640-8586-3B5080F6B818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3107" name="AutoShape 35">
          <a:extLst>
            <a:ext uri="{FF2B5EF4-FFF2-40B4-BE49-F238E27FC236}">
              <a16:creationId xmlns:a16="http://schemas.microsoft.com/office/drawing/2014/main" id="{D4EE689D-B846-1341-BF27-63B96110777D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3108" name="AutoShape 36">
          <a:extLst>
            <a:ext uri="{FF2B5EF4-FFF2-40B4-BE49-F238E27FC236}">
              <a16:creationId xmlns:a16="http://schemas.microsoft.com/office/drawing/2014/main" id="{B8007329-FB09-3C44-B3EA-DDE7F66CA156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3109" name="AutoShape 37">
          <a:extLst>
            <a:ext uri="{FF2B5EF4-FFF2-40B4-BE49-F238E27FC236}">
              <a16:creationId xmlns:a16="http://schemas.microsoft.com/office/drawing/2014/main" id="{FA31F07A-1847-524F-BF1E-290966C2966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3110" name="AutoShape 38">
          <a:extLst>
            <a:ext uri="{FF2B5EF4-FFF2-40B4-BE49-F238E27FC236}">
              <a16:creationId xmlns:a16="http://schemas.microsoft.com/office/drawing/2014/main" id="{574B394E-BB74-5C40-B8C1-2FA966B23C82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3111" name="AutoShape 39">
          <a:extLst>
            <a:ext uri="{FF2B5EF4-FFF2-40B4-BE49-F238E27FC236}">
              <a16:creationId xmlns:a16="http://schemas.microsoft.com/office/drawing/2014/main" id="{CC402491-76B1-9E4F-9C57-B9CDA53415FF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3112" name="AutoShape 40">
          <a:extLst>
            <a:ext uri="{FF2B5EF4-FFF2-40B4-BE49-F238E27FC236}">
              <a16:creationId xmlns:a16="http://schemas.microsoft.com/office/drawing/2014/main" id="{3A342B82-2794-3C42-AF90-CD8B2DCF5D15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3113" name="AutoShape 41">
          <a:extLst>
            <a:ext uri="{FF2B5EF4-FFF2-40B4-BE49-F238E27FC236}">
              <a16:creationId xmlns:a16="http://schemas.microsoft.com/office/drawing/2014/main" id="{EFE2A184-11ED-A649-9CB8-447F7B2BC1C0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3114" name="AutoShape 42">
          <a:extLst>
            <a:ext uri="{FF2B5EF4-FFF2-40B4-BE49-F238E27FC236}">
              <a16:creationId xmlns:a16="http://schemas.microsoft.com/office/drawing/2014/main" id="{B6858C6E-ACFB-0C4B-9A27-6EDB480C8AFA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3115" name="AutoShape 43">
          <a:extLst>
            <a:ext uri="{FF2B5EF4-FFF2-40B4-BE49-F238E27FC236}">
              <a16:creationId xmlns:a16="http://schemas.microsoft.com/office/drawing/2014/main" id="{5164B637-20EB-4747-83ED-E2F2B78BA9C6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3116" name="AutoShape 44">
          <a:extLst>
            <a:ext uri="{FF2B5EF4-FFF2-40B4-BE49-F238E27FC236}">
              <a16:creationId xmlns:a16="http://schemas.microsoft.com/office/drawing/2014/main" id="{1466637E-6FDA-4C4E-8FC4-A85074376895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3117" name="AutoShape 45">
          <a:extLst>
            <a:ext uri="{FF2B5EF4-FFF2-40B4-BE49-F238E27FC236}">
              <a16:creationId xmlns:a16="http://schemas.microsoft.com/office/drawing/2014/main" id="{39978742-3B9C-1D4C-804A-792661EF0CA4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3118" name="AutoShape 46">
          <a:extLst>
            <a:ext uri="{FF2B5EF4-FFF2-40B4-BE49-F238E27FC236}">
              <a16:creationId xmlns:a16="http://schemas.microsoft.com/office/drawing/2014/main" id="{0F063457-7751-214E-92DF-BCBA06F5999B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3119" name="AutoShape 47">
          <a:extLst>
            <a:ext uri="{FF2B5EF4-FFF2-40B4-BE49-F238E27FC236}">
              <a16:creationId xmlns:a16="http://schemas.microsoft.com/office/drawing/2014/main" id="{FAF2F9A6-8C71-E141-9F67-E1A0588B7A8D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3120" name="AutoShape 48">
          <a:extLst>
            <a:ext uri="{FF2B5EF4-FFF2-40B4-BE49-F238E27FC236}">
              <a16:creationId xmlns:a16="http://schemas.microsoft.com/office/drawing/2014/main" id="{D28BC8FE-D121-F74A-803F-CF67A8CF77CC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3121" name="AutoShape 49">
          <a:extLst>
            <a:ext uri="{FF2B5EF4-FFF2-40B4-BE49-F238E27FC236}">
              <a16:creationId xmlns:a16="http://schemas.microsoft.com/office/drawing/2014/main" id="{19683970-F2D0-3941-B05A-85868E74B091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3122" name="AutoShape 50">
          <a:extLst>
            <a:ext uri="{FF2B5EF4-FFF2-40B4-BE49-F238E27FC236}">
              <a16:creationId xmlns:a16="http://schemas.microsoft.com/office/drawing/2014/main" id="{C8620748-87F9-154F-A36D-81C6A5F474A2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3123" name="AutoShape 51">
          <a:extLst>
            <a:ext uri="{FF2B5EF4-FFF2-40B4-BE49-F238E27FC236}">
              <a16:creationId xmlns:a16="http://schemas.microsoft.com/office/drawing/2014/main" id="{F42AF3EC-8C8C-C847-8A82-84F6D92632C2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3124" name="AutoShape 52">
          <a:extLst>
            <a:ext uri="{FF2B5EF4-FFF2-40B4-BE49-F238E27FC236}">
              <a16:creationId xmlns:a16="http://schemas.microsoft.com/office/drawing/2014/main" id="{1DEFD4C1-AAA4-8842-96D0-6873796D5F86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3125" name="AutoShape 53">
          <a:extLst>
            <a:ext uri="{FF2B5EF4-FFF2-40B4-BE49-F238E27FC236}">
              <a16:creationId xmlns:a16="http://schemas.microsoft.com/office/drawing/2014/main" id="{1333D624-82AC-AC4A-B657-F4203A06F8C7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3126" name="AutoShape 54">
          <a:extLst>
            <a:ext uri="{FF2B5EF4-FFF2-40B4-BE49-F238E27FC236}">
              <a16:creationId xmlns:a16="http://schemas.microsoft.com/office/drawing/2014/main" id="{EE871269-3428-494B-8C03-ADECD5742F62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3127" name="AutoShape 55">
          <a:extLst>
            <a:ext uri="{FF2B5EF4-FFF2-40B4-BE49-F238E27FC236}">
              <a16:creationId xmlns:a16="http://schemas.microsoft.com/office/drawing/2014/main" id="{65C000A3-78ED-CD4C-96F6-443D954742FE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3128" name="AutoShape 56">
          <a:extLst>
            <a:ext uri="{FF2B5EF4-FFF2-40B4-BE49-F238E27FC236}">
              <a16:creationId xmlns:a16="http://schemas.microsoft.com/office/drawing/2014/main" id="{6D83E4F4-EC0A-7545-A622-A66354EB2640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3129" name="AutoShape 57">
          <a:extLst>
            <a:ext uri="{FF2B5EF4-FFF2-40B4-BE49-F238E27FC236}">
              <a16:creationId xmlns:a16="http://schemas.microsoft.com/office/drawing/2014/main" id="{CFD46A96-673A-0D48-A8C8-165C5EDC82B3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3130" name="AutoShape 58">
          <a:extLst>
            <a:ext uri="{FF2B5EF4-FFF2-40B4-BE49-F238E27FC236}">
              <a16:creationId xmlns:a16="http://schemas.microsoft.com/office/drawing/2014/main" id="{60F904AC-7FA9-DD4A-8001-3606B255FEF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3131" name="AutoShape 59">
          <a:extLst>
            <a:ext uri="{FF2B5EF4-FFF2-40B4-BE49-F238E27FC236}">
              <a16:creationId xmlns:a16="http://schemas.microsoft.com/office/drawing/2014/main" id="{056933B0-ABCF-2A44-9B42-9E59C4E68395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3132" name="AutoShape 60">
          <a:extLst>
            <a:ext uri="{FF2B5EF4-FFF2-40B4-BE49-F238E27FC236}">
              <a16:creationId xmlns:a16="http://schemas.microsoft.com/office/drawing/2014/main" id="{BB9EAEB6-E2C8-C84E-A1EE-D4FC4DFF0A5B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3133" name="AutoShape 61">
          <a:extLst>
            <a:ext uri="{FF2B5EF4-FFF2-40B4-BE49-F238E27FC236}">
              <a16:creationId xmlns:a16="http://schemas.microsoft.com/office/drawing/2014/main" id="{1253EB3E-E0FE-CB4D-BC30-8FDC40FE73E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3134" name="AutoShape 62">
          <a:extLst>
            <a:ext uri="{FF2B5EF4-FFF2-40B4-BE49-F238E27FC236}">
              <a16:creationId xmlns:a16="http://schemas.microsoft.com/office/drawing/2014/main" id="{D0FACCE1-7CB4-5B4E-8DDF-D08F3A41AC00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3135" name="AutoShape 63">
          <a:extLst>
            <a:ext uri="{FF2B5EF4-FFF2-40B4-BE49-F238E27FC236}">
              <a16:creationId xmlns:a16="http://schemas.microsoft.com/office/drawing/2014/main" id="{F8BEA765-24F9-E448-A919-53F3E194DFA6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3136" name="AutoShape 64">
          <a:extLst>
            <a:ext uri="{FF2B5EF4-FFF2-40B4-BE49-F238E27FC236}">
              <a16:creationId xmlns:a16="http://schemas.microsoft.com/office/drawing/2014/main" id="{93D04995-0F2F-C343-BEFB-6B10F4DE0E6D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241" name="AutoShape 1">
          <a:extLst>
            <a:ext uri="{FF2B5EF4-FFF2-40B4-BE49-F238E27FC236}">
              <a16:creationId xmlns:a16="http://schemas.microsoft.com/office/drawing/2014/main" id="{19C95022-1793-4E48-B3B9-0AD23CF51FD3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242" name="AutoShape 2">
          <a:extLst>
            <a:ext uri="{FF2B5EF4-FFF2-40B4-BE49-F238E27FC236}">
              <a16:creationId xmlns:a16="http://schemas.microsoft.com/office/drawing/2014/main" id="{B7C0FFED-407B-1E48-818A-4BC3568F8B0A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243" name="AutoShape 3">
          <a:extLst>
            <a:ext uri="{FF2B5EF4-FFF2-40B4-BE49-F238E27FC236}">
              <a16:creationId xmlns:a16="http://schemas.microsoft.com/office/drawing/2014/main" id="{553EAC15-F804-1B4A-8FD3-A9217EB001B1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244" name="AutoShape 4">
          <a:extLst>
            <a:ext uri="{FF2B5EF4-FFF2-40B4-BE49-F238E27FC236}">
              <a16:creationId xmlns:a16="http://schemas.microsoft.com/office/drawing/2014/main" id="{696A00DA-4299-FB49-A549-F6DC31EF3910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245" name="AutoShape 5">
          <a:extLst>
            <a:ext uri="{FF2B5EF4-FFF2-40B4-BE49-F238E27FC236}">
              <a16:creationId xmlns:a16="http://schemas.microsoft.com/office/drawing/2014/main" id="{0E6F245D-EBF9-1C41-BAE2-747D9143AA1E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246" name="AutoShape 6">
          <a:extLst>
            <a:ext uri="{FF2B5EF4-FFF2-40B4-BE49-F238E27FC236}">
              <a16:creationId xmlns:a16="http://schemas.microsoft.com/office/drawing/2014/main" id="{9F6B8B12-7F9D-F94F-8AB5-FE84FE8FC169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247" name="AutoShape 7">
          <a:extLst>
            <a:ext uri="{FF2B5EF4-FFF2-40B4-BE49-F238E27FC236}">
              <a16:creationId xmlns:a16="http://schemas.microsoft.com/office/drawing/2014/main" id="{01E2ABDE-13AA-FB4B-B4D0-109333EDB711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248" name="AutoShape 8">
          <a:extLst>
            <a:ext uri="{FF2B5EF4-FFF2-40B4-BE49-F238E27FC236}">
              <a16:creationId xmlns:a16="http://schemas.microsoft.com/office/drawing/2014/main" id="{727BCD2D-1478-C244-99BD-680525313E6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249" name="AutoShape 9">
          <a:extLst>
            <a:ext uri="{FF2B5EF4-FFF2-40B4-BE49-F238E27FC236}">
              <a16:creationId xmlns:a16="http://schemas.microsoft.com/office/drawing/2014/main" id="{5DB5640B-668B-8344-A3FB-A47D8B514A4B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250" name="AutoShape 10">
          <a:extLst>
            <a:ext uri="{FF2B5EF4-FFF2-40B4-BE49-F238E27FC236}">
              <a16:creationId xmlns:a16="http://schemas.microsoft.com/office/drawing/2014/main" id="{2E2D47C4-0A30-7A43-8DF2-5BDECA2763EB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251" name="AutoShape 11">
          <a:extLst>
            <a:ext uri="{FF2B5EF4-FFF2-40B4-BE49-F238E27FC236}">
              <a16:creationId xmlns:a16="http://schemas.microsoft.com/office/drawing/2014/main" id="{F0D72325-CDBF-8D4E-8807-86A2B469A060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0252" name="AutoShape 12">
          <a:extLst>
            <a:ext uri="{FF2B5EF4-FFF2-40B4-BE49-F238E27FC236}">
              <a16:creationId xmlns:a16="http://schemas.microsoft.com/office/drawing/2014/main" id="{87D05678-C155-2941-9FDE-845868B57B84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0253" name="AutoShape 13">
          <a:extLst>
            <a:ext uri="{FF2B5EF4-FFF2-40B4-BE49-F238E27FC236}">
              <a16:creationId xmlns:a16="http://schemas.microsoft.com/office/drawing/2014/main" id="{79AFB9B2-E97C-4544-93BD-7F6BDF149D57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0254" name="AutoShape 14">
          <a:extLst>
            <a:ext uri="{FF2B5EF4-FFF2-40B4-BE49-F238E27FC236}">
              <a16:creationId xmlns:a16="http://schemas.microsoft.com/office/drawing/2014/main" id="{B0D07212-0A9E-9644-96BD-25D9E89FB1D6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0255" name="AutoShape 15">
          <a:extLst>
            <a:ext uri="{FF2B5EF4-FFF2-40B4-BE49-F238E27FC236}">
              <a16:creationId xmlns:a16="http://schemas.microsoft.com/office/drawing/2014/main" id="{8D224342-C980-E848-AF01-D5363E47BE82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0256" name="AutoShape 16">
          <a:extLst>
            <a:ext uri="{FF2B5EF4-FFF2-40B4-BE49-F238E27FC236}">
              <a16:creationId xmlns:a16="http://schemas.microsoft.com/office/drawing/2014/main" id="{15101731-66F1-CE4A-A8A4-927623D806DD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0257" name="AutoShape 17">
          <a:extLst>
            <a:ext uri="{FF2B5EF4-FFF2-40B4-BE49-F238E27FC236}">
              <a16:creationId xmlns:a16="http://schemas.microsoft.com/office/drawing/2014/main" id="{A15BFAEF-BF38-C94F-A954-F892BA32FB87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0258" name="AutoShape 18">
          <a:extLst>
            <a:ext uri="{FF2B5EF4-FFF2-40B4-BE49-F238E27FC236}">
              <a16:creationId xmlns:a16="http://schemas.microsoft.com/office/drawing/2014/main" id="{63D81B20-99D6-0748-B84F-1A4BA229040F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0259" name="AutoShape 19">
          <a:extLst>
            <a:ext uri="{FF2B5EF4-FFF2-40B4-BE49-F238E27FC236}">
              <a16:creationId xmlns:a16="http://schemas.microsoft.com/office/drawing/2014/main" id="{2371AF1A-33AB-8040-B372-20494CAC9B85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0260" name="AutoShape 20">
          <a:extLst>
            <a:ext uri="{FF2B5EF4-FFF2-40B4-BE49-F238E27FC236}">
              <a16:creationId xmlns:a16="http://schemas.microsoft.com/office/drawing/2014/main" id="{604AF557-6BB4-B04C-A060-49748D21159F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0261" name="AutoShape 21">
          <a:extLst>
            <a:ext uri="{FF2B5EF4-FFF2-40B4-BE49-F238E27FC236}">
              <a16:creationId xmlns:a16="http://schemas.microsoft.com/office/drawing/2014/main" id="{F34F6DDF-19A2-E247-8201-5F0DCB24D804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0262" name="AutoShape 22">
          <a:extLst>
            <a:ext uri="{FF2B5EF4-FFF2-40B4-BE49-F238E27FC236}">
              <a16:creationId xmlns:a16="http://schemas.microsoft.com/office/drawing/2014/main" id="{C09145FC-B68A-F84B-B5E5-DE0D20811C4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0263" name="AutoShape 23">
          <a:extLst>
            <a:ext uri="{FF2B5EF4-FFF2-40B4-BE49-F238E27FC236}">
              <a16:creationId xmlns:a16="http://schemas.microsoft.com/office/drawing/2014/main" id="{3F36D9F4-2267-8D42-95FB-7D63E0687360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0264" name="AutoShape 24">
          <a:extLst>
            <a:ext uri="{FF2B5EF4-FFF2-40B4-BE49-F238E27FC236}">
              <a16:creationId xmlns:a16="http://schemas.microsoft.com/office/drawing/2014/main" id="{D2196F19-A483-F74E-85A7-C278E77CD868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0265" name="AutoShape 25">
          <a:extLst>
            <a:ext uri="{FF2B5EF4-FFF2-40B4-BE49-F238E27FC236}">
              <a16:creationId xmlns:a16="http://schemas.microsoft.com/office/drawing/2014/main" id="{9E532B30-6AA2-0E48-B15C-68D670D56142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0266" name="AutoShape 26">
          <a:extLst>
            <a:ext uri="{FF2B5EF4-FFF2-40B4-BE49-F238E27FC236}">
              <a16:creationId xmlns:a16="http://schemas.microsoft.com/office/drawing/2014/main" id="{865A0DE4-D278-B044-A736-C5F6AD16A7E7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0267" name="AutoShape 27">
          <a:extLst>
            <a:ext uri="{FF2B5EF4-FFF2-40B4-BE49-F238E27FC236}">
              <a16:creationId xmlns:a16="http://schemas.microsoft.com/office/drawing/2014/main" id="{BE5FF7BE-C249-2148-AADC-2DB89A0F9B56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0268" name="AutoShape 28">
          <a:extLst>
            <a:ext uri="{FF2B5EF4-FFF2-40B4-BE49-F238E27FC236}">
              <a16:creationId xmlns:a16="http://schemas.microsoft.com/office/drawing/2014/main" id="{6CEE1951-F961-2B4A-8632-C40BF8466625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0269" name="AutoShape 29">
          <a:extLst>
            <a:ext uri="{FF2B5EF4-FFF2-40B4-BE49-F238E27FC236}">
              <a16:creationId xmlns:a16="http://schemas.microsoft.com/office/drawing/2014/main" id="{5A3A3B6A-F421-D145-9109-C27A016BFAC7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0270" name="AutoShape 30">
          <a:extLst>
            <a:ext uri="{FF2B5EF4-FFF2-40B4-BE49-F238E27FC236}">
              <a16:creationId xmlns:a16="http://schemas.microsoft.com/office/drawing/2014/main" id="{B9A328C9-AA26-DF40-8F04-D83DC0EC5D6C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0271" name="AutoShape 31">
          <a:extLst>
            <a:ext uri="{FF2B5EF4-FFF2-40B4-BE49-F238E27FC236}">
              <a16:creationId xmlns:a16="http://schemas.microsoft.com/office/drawing/2014/main" id="{EF787C0D-B08F-9A4C-8786-4C9BE8417023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0272" name="AutoShape 32">
          <a:extLst>
            <a:ext uri="{FF2B5EF4-FFF2-40B4-BE49-F238E27FC236}">
              <a16:creationId xmlns:a16="http://schemas.microsoft.com/office/drawing/2014/main" id="{1502D12A-84DE-BE44-B352-F7B750B92723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10273" name="AutoShape 33">
          <a:extLst>
            <a:ext uri="{FF2B5EF4-FFF2-40B4-BE49-F238E27FC236}">
              <a16:creationId xmlns:a16="http://schemas.microsoft.com/office/drawing/2014/main" id="{DEA6418A-1B1D-5B42-ABAE-B733B3D40453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10274" name="AutoShape 34">
          <a:extLst>
            <a:ext uri="{FF2B5EF4-FFF2-40B4-BE49-F238E27FC236}">
              <a16:creationId xmlns:a16="http://schemas.microsoft.com/office/drawing/2014/main" id="{43042D6F-D24B-1E4F-A857-39524512E9B5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10275" name="AutoShape 35">
          <a:extLst>
            <a:ext uri="{FF2B5EF4-FFF2-40B4-BE49-F238E27FC236}">
              <a16:creationId xmlns:a16="http://schemas.microsoft.com/office/drawing/2014/main" id="{DC893B54-5AA6-804B-AA62-7350DA3D25C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10276" name="AutoShape 36">
          <a:extLst>
            <a:ext uri="{FF2B5EF4-FFF2-40B4-BE49-F238E27FC236}">
              <a16:creationId xmlns:a16="http://schemas.microsoft.com/office/drawing/2014/main" id="{35025C11-1EDD-1643-9F77-4BD1876C2EE5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10277" name="AutoShape 37">
          <a:extLst>
            <a:ext uri="{FF2B5EF4-FFF2-40B4-BE49-F238E27FC236}">
              <a16:creationId xmlns:a16="http://schemas.microsoft.com/office/drawing/2014/main" id="{2494BB26-D803-0041-BA00-408F4416BDFA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10278" name="AutoShape 38">
          <a:extLst>
            <a:ext uri="{FF2B5EF4-FFF2-40B4-BE49-F238E27FC236}">
              <a16:creationId xmlns:a16="http://schemas.microsoft.com/office/drawing/2014/main" id="{DF517AC6-7076-404A-A115-FE1AADB417C2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10279" name="AutoShape 39">
          <a:extLst>
            <a:ext uri="{FF2B5EF4-FFF2-40B4-BE49-F238E27FC236}">
              <a16:creationId xmlns:a16="http://schemas.microsoft.com/office/drawing/2014/main" id="{FEE175C3-88F3-CB4F-8E98-5F4EB6F4D10F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10280" name="AutoShape 40">
          <a:extLst>
            <a:ext uri="{FF2B5EF4-FFF2-40B4-BE49-F238E27FC236}">
              <a16:creationId xmlns:a16="http://schemas.microsoft.com/office/drawing/2014/main" id="{580FF603-221F-044A-8FE8-516D59E2731C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10281" name="AutoShape 41">
          <a:extLst>
            <a:ext uri="{FF2B5EF4-FFF2-40B4-BE49-F238E27FC236}">
              <a16:creationId xmlns:a16="http://schemas.microsoft.com/office/drawing/2014/main" id="{FD6C4B6F-7829-494B-9E76-84F787DF361A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10282" name="AutoShape 42">
          <a:extLst>
            <a:ext uri="{FF2B5EF4-FFF2-40B4-BE49-F238E27FC236}">
              <a16:creationId xmlns:a16="http://schemas.microsoft.com/office/drawing/2014/main" id="{69B0814A-A5AB-F94E-B8A2-0DE635B8E6FB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10283" name="AutoShape 43">
          <a:extLst>
            <a:ext uri="{FF2B5EF4-FFF2-40B4-BE49-F238E27FC236}">
              <a16:creationId xmlns:a16="http://schemas.microsoft.com/office/drawing/2014/main" id="{898C3979-1A92-0244-9A16-6A55912AD9BF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10284" name="AutoShape 44">
          <a:extLst>
            <a:ext uri="{FF2B5EF4-FFF2-40B4-BE49-F238E27FC236}">
              <a16:creationId xmlns:a16="http://schemas.microsoft.com/office/drawing/2014/main" id="{368CD138-A5BD-1043-90DE-31F83852A405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10285" name="AutoShape 45">
          <a:extLst>
            <a:ext uri="{FF2B5EF4-FFF2-40B4-BE49-F238E27FC236}">
              <a16:creationId xmlns:a16="http://schemas.microsoft.com/office/drawing/2014/main" id="{9F354AB0-906C-9C45-81F3-FBAB62CA5A8C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10286" name="AutoShape 46">
          <a:extLst>
            <a:ext uri="{FF2B5EF4-FFF2-40B4-BE49-F238E27FC236}">
              <a16:creationId xmlns:a16="http://schemas.microsoft.com/office/drawing/2014/main" id="{CDF84875-46F8-6742-B7CE-AD4C07C423DE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10287" name="AutoShape 47">
          <a:extLst>
            <a:ext uri="{FF2B5EF4-FFF2-40B4-BE49-F238E27FC236}">
              <a16:creationId xmlns:a16="http://schemas.microsoft.com/office/drawing/2014/main" id="{148BFC2C-2789-D54E-A267-7032BE974FBB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10288" name="AutoShape 48">
          <a:extLst>
            <a:ext uri="{FF2B5EF4-FFF2-40B4-BE49-F238E27FC236}">
              <a16:creationId xmlns:a16="http://schemas.microsoft.com/office/drawing/2014/main" id="{E39084E2-8785-6B41-A236-1D346C3C6E5A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10289" name="AutoShape 49">
          <a:extLst>
            <a:ext uri="{FF2B5EF4-FFF2-40B4-BE49-F238E27FC236}">
              <a16:creationId xmlns:a16="http://schemas.microsoft.com/office/drawing/2014/main" id="{B0E8C3CC-1723-4049-B4B8-5CD9F931DDB8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10290" name="AutoShape 50">
          <a:extLst>
            <a:ext uri="{FF2B5EF4-FFF2-40B4-BE49-F238E27FC236}">
              <a16:creationId xmlns:a16="http://schemas.microsoft.com/office/drawing/2014/main" id="{9F3C063A-AE36-1A4B-917F-998E2A8EBD4D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10291" name="AutoShape 51">
          <a:extLst>
            <a:ext uri="{FF2B5EF4-FFF2-40B4-BE49-F238E27FC236}">
              <a16:creationId xmlns:a16="http://schemas.microsoft.com/office/drawing/2014/main" id="{AACC631E-34EE-5A41-B041-9065E2B9CCFC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10292" name="AutoShape 52">
          <a:extLst>
            <a:ext uri="{FF2B5EF4-FFF2-40B4-BE49-F238E27FC236}">
              <a16:creationId xmlns:a16="http://schemas.microsoft.com/office/drawing/2014/main" id="{53DBF53A-F624-6441-864B-F5AD08FFC5C4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10293" name="AutoShape 53">
          <a:extLst>
            <a:ext uri="{FF2B5EF4-FFF2-40B4-BE49-F238E27FC236}">
              <a16:creationId xmlns:a16="http://schemas.microsoft.com/office/drawing/2014/main" id="{084DFF9B-DE9D-0249-9093-BFFB7D0C4BDC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10294" name="AutoShape 54">
          <a:extLst>
            <a:ext uri="{FF2B5EF4-FFF2-40B4-BE49-F238E27FC236}">
              <a16:creationId xmlns:a16="http://schemas.microsoft.com/office/drawing/2014/main" id="{C5EA30DA-909D-AE4A-884E-8D9794615202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10295" name="AutoShape 55">
          <a:extLst>
            <a:ext uri="{FF2B5EF4-FFF2-40B4-BE49-F238E27FC236}">
              <a16:creationId xmlns:a16="http://schemas.microsoft.com/office/drawing/2014/main" id="{E4EDFA54-60A4-2F49-B38F-318783006FDD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10296" name="AutoShape 56">
          <a:extLst>
            <a:ext uri="{FF2B5EF4-FFF2-40B4-BE49-F238E27FC236}">
              <a16:creationId xmlns:a16="http://schemas.microsoft.com/office/drawing/2014/main" id="{890D55BC-28AA-864F-882D-CED67AD78655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10297" name="AutoShape 57">
          <a:extLst>
            <a:ext uri="{FF2B5EF4-FFF2-40B4-BE49-F238E27FC236}">
              <a16:creationId xmlns:a16="http://schemas.microsoft.com/office/drawing/2014/main" id="{0B9F901C-2E17-F443-9A13-4AA81ED77034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10298" name="AutoShape 58">
          <a:extLst>
            <a:ext uri="{FF2B5EF4-FFF2-40B4-BE49-F238E27FC236}">
              <a16:creationId xmlns:a16="http://schemas.microsoft.com/office/drawing/2014/main" id="{85D79B49-2AD6-264B-8801-6546C50D59B9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10299" name="AutoShape 59">
          <a:extLst>
            <a:ext uri="{FF2B5EF4-FFF2-40B4-BE49-F238E27FC236}">
              <a16:creationId xmlns:a16="http://schemas.microsoft.com/office/drawing/2014/main" id="{BEF6AA8C-B660-2040-B28A-7AE26BBC4A3E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10300" name="AutoShape 60">
          <a:extLst>
            <a:ext uri="{FF2B5EF4-FFF2-40B4-BE49-F238E27FC236}">
              <a16:creationId xmlns:a16="http://schemas.microsoft.com/office/drawing/2014/main" id="{34654CC2-A27B-AC45-91D2-529DBF2F520B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10301" name="AutoShape 61">
          <a:extLst>
            <a:ext uri="{FF2B5EF4-FFF2-40B4-BE49-F238E27FC236}">
              <a16:creationId xmlns:a16="http://schemas.microsoft.com/office/drawing/2014/main" id="{5D1D29F6-876B-1E44-A594-A9B98545FB8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10302" name="AutoShape 62">
          <a:extLst>
            <a:ext uri="{FF2B5EF4-FFF2-40B4-BE49-F238E27FC236}">
              <a16:creationId xmlns:a16="http://schemas.microsoft.com/office/drawing/2014/main" id="{0806698B-CE85-D249-9A24-C843B9933365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10303" name="AutoShape 63">
          <a:extLst>
            <a:ext uri="{FF2B5EF4-FFF2-40B4-BE49-F238E27FC236}">
              <a16:creationId xmlns:a16="http://schemas.microsoft.com/office/drawing/2014/main" id="{AA3ADB21-10D6-4240-BAF3-AB206325E40F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10304" name="AutoShape 64">
          <a:extLst>
            <a:ext uri="{FF2B5EF4-FFF2-40B4-BE49-F238E27FC236}">
              <a16:creationId xmlns:a16="http://schemas.microsoft.com/office/drawing/2014/main" id="{3FC0E1DC-9402-1F48-8B1B-675B7B598E5F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4097" name="AutoShape 1">
          <a:extLst>
            <a:ext uri="{FF2B5EF4-FFF2-40B4-BE49-F238E27FC236}">
              <a16:creationId xmlns:a16="http://schemas.microsoft.com/office/drawing/2014/main" id="{88D3DA66-8EC2-6648-B628-70BB2D33654A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4098" name="AutoShape 2">
          <a:extLst>
            <a:ext uri="{FF2B5EF4-FFF2-40B4-BE49-F238E27FC236}">
              <a16:creationId xmlns:a16="http://schemas.microsoft.com/office/drawing/2014/main" id="{9BF0E6F6-BC61-FF41-A92E-D3B52EEBDF29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099" name="AutoShape 3">
          <a:extLst>
            <a:ext uri="{FF2B5EF4-FFF2-40B4-BE49-F238E27FC236}">
              <a16:creationId xmlns:a16="http://schemas.microsoft.com/office/drawing/2014/main" id="{C7DF7693-AD8B-C740-BD83-D25D2CF7C75E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4100" name="AutoShape 4">
          <a:extLst>
            <a:ext uri="{FF2B5EF4-FFF2-40B4-BE49-F238E27FC236}">
              <a16:creationId xmlns:a16="http://schemas.microsoft.com/office/drawing/2014/main" id="{19CB5476-2E4A-754C-9472-19E0E27CA321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4101" name="AutoShape 5">
          <a:extLst>
            <a:ext uri="{FF2B5EF4-FFF2-40B4-BE49-F238E27FC236}">
              <a16:creationId xmlns:a16="http://schemas.microsoft.com/office/drawing/2014/main" id="{6415F649-7C26-8B47-B09B-A1D78D136B99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4102" name="AutoShape 6">
          <a:extLst>
            <a:ext uri="{FF2B5EF4-FFF2-40B4-BE49-F238E27FC236}">
              <a16:creationId xmlns:a16="http://schemas.microsoft.com/office/drawing/2014/main" id="{914BD987-43D8-CB43-A16A-CB019C359BEB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4103" name="AutoShape 7">
          <a:extLst>
            <a:ext uri="{FF2B5EF4-FFF2-40B4-BE49-F238E27FC236}">
              <a16:creationId xmlns:a16="http://schemas.microsoft.com/office/drawing/2014/main" id="{9E90644D-82FD-F14D-8DC0-C8A348057D2D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4104" name="AutoShape 8">
          <a:extLst>
            <a:ext uri="{FF2B5EF4-FFF2-40B4-BE49-F238E27FC236}">
              <a16:creationId xmlns:a16="http://schemas.microsoft.com/office/drawing/2014/main" id="{0FD7B6DB-4D16-3E42-88FC-06D28E8DCD04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4105" name="AutoShape 9">
          <a:extLst>
            <a:ext uri="{FF2B5EF4-FFF2-40B4-BE49-F238E27FC236}">
              <a16:creationId xmlns:a16="http://schemas.microsoft.com/office/drawing/2014/main" id="{BFEC366F-F460-8645-BEC1-6440F4E054C4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4106" name="AutoShape 10">
          <a:extLst>
            <a:ext uri="{FF2B5EF4-FFF2-40B4-BE49-F238E27FC236}">
              <a16:creationId xmlns:a16="http://schemas.microsoft.com/office/drawing/2014/main" id="{94DD9129-0EF3-3444-9D57-2FFD314FAA88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4107" name="AutoShape 11">
          <a:extLst>
            <a:ext uri="{FF2B5EF4-FFF2-40B4-BE49-F238E27FC236}">
              <a16:creationId xmlns:a16="http://schemas.microsoft.com/office/drawing/2014/main" id="{2EC70D1D-0EE3-AC4A-BE2A-F1E4E1F3EFA8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4108" name="AutoShape 12">
          <a:extLst>
            <a:ext uri="{FF2B5EF4-FFF2-40B4-BE49-F238E27FC236}">
              <a16:creationId xmlns:a16="http://schemas.microsoft.com/office/drawing/2014/main" id="{9894F363-0C38-2641-AADA-BB571FD30617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4109" name="AutoShape 13">
          <a:extLst>
            <a:ext uri="{FF2B5EF4-FFF2-40B4-BE49-F238E27FC236}">
              <a16:creationId xmlns:a16="http://schemas.microsoft.com/office/drawing/2014/main" id="{A35CAE03-8173-5D4A-9B77-95FA1D1B8A86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4110" name="AutoShape 14">
          <a:extLst>
            <a:ext uri="{FF2B5EF4-FFF2-40B4-BE49-F238E27FC236}">
              <a16:creationId xmlns:a16="http://schemas.microsoft.com/office/drawing/2014/main" id="{CDA6EC7D-6092-B048-B738-8C047FE612C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4111" name="AutoShape 15">
          <a:extLst>
            <a:ext uri="{FF2B5EF4-FFF2-40B4-BE49-F238E27FC236}">
              <a16:creationId xmlns:a16="http://schemas.microsoft.com/office/drawing/2014/main" id="{2B4B1BB6-8058-6C40-9435-913EE8E83F85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4112" name="AutoShape 16">
          <a:extLst>
            <a:ext uri="{FF2B5EF4-FFF2-40B4-BE49-F238E27FC236}">
              <a16:creationId xmlns:a16="http://schemas.microsoft.com/office/drawing/2014/main" id="{CD9BDD00-05A1-5648-883E-34663A51A14B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4113" name="AutoShape 17">
          <a:extLst>
            <a:ext uri="{FF2B5EF4-FFF2-40B4-BE49-F238E27FC236}">
              <a16:creationId xmlns:a16="http://schemas.microsoft.com/office/drawing/2014/main" id="{1D4F95A0-752D-6444-9386-0B0B34FDBEA3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4114" name="AutoShape 18">
          <a:extLst>
            <a:ext uri="{FF2B5EF4-FFF2-40B4-BE49-F238E27FC236}">
              <a16:creationId xmlns:a16="http://schemas.microsoft.com/office/drawing/2014/main" id="{80294DB1-4648-4B46-9A6B-7A71DCBBD157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4115" name="AutoShape 19">
          <a:extLst>
            <a:ext uri="{FF2B5EF4-FFF2-40B4-BE49-F238E27FC236}">
              <a16:creationId xmlns:a16="http://schemas.microsoft.com/office/drawing/2014/main" id="{C04E3B17-1D03-1646-A518-E1CF19D47776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4116" name="AutoShape 20">
          <a:extLst>
            <a:ext uri="{FF2B5EF4-FFF2-40B4-BE49-F238E27FC236}">
              <a16:creationId xmlns:a16="http://schemas.microsoft.com/office/drawing/2014/main" id="{8BD7AB23-B354-984E-B5F6-A08F788C85AE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4117" name="AutoShape 21">
          <a:extLst>
            <a:ext uri="{FF2B5EF4-FFF2-40B4-BE49-F238E27FC236}">
              <a16:creationId xmlns:a16="http://schemas.microsoft.com/office/drawing/2014/main" id="{DF8F1305-F5F4-2F45-BAEE-CBA78D19AF17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4118" name="AutoShape 22">
          <a:extLst>
            <a:ext uri="{FF2B5EF4-FFF2-40B4-BE49-F238E27FC236}">
              <a16:creationId xmlns:a16="http://schemas.microsoft.com/office/drawing/2014/main" id="{B26A091E-1077-014A-B07A-C7263A5B32FD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4119" name="AutoShape 23">
          <a:extLst>
            <a:ext uri="{FF2B5EF4-FFF2-40B4-BE49-F238E27FC236}">
              <a16:creationId xmlns:a16="http://schemas.microsoft.com/office/drawing/2014/main" id="{57CD799D-7916-794B-A486-9BD3A25F1C33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4120" name="AutoShape 24">
          <a:extLst>
            <a:ext uri="{FF2B5EF4-FFF2-40B4-BE49-F238E27FC236}">
              <a16:creationId xmlns:a16="http://schemas.microsoft.com/office/drawing/2014/main" id="{F4D6102E-3AC5-2243-89F3-25E0E44C9154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4121" name="AutoShape 25">
          <a:extLst>
            <a:ext uri="{FF2B5EF4-FFF2-40B4-BE49-F238E27FC236}">
              <a16:creationId xmlns:a16="http://schemas.microsoft.com/office/drawing/2014/main" id="{E39BB1DE-846C-EC4D-850F-173D060CA3D4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4122" name="AutoShape 26">
          <a:extLst>
            <a:ext uri="{FF2B5EF4-FFF2-40B4-BE49-F238E27FC236}">
              <a16:creationId xmlns:a16="http://schemas.microsoft.com/office/drawing/2014/main" id="{B6C7738E-DF76-5242-BFC4-68776DBF8698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4123" name="AutoShape 27">
          <a:extLst>
            <a:ext uri="{FF2B5EF4-FFF2-40B4-BE49-F238E27FC236}">
              <a16:creationId xmlns:a16="http://schemas.microsoft.com/office/drawing/2014/main" id="{6739189E-5595-9444-80C6-7459915E4BCB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4124" name="AutoShape 28">
          <a:extLst>
            <a:ext uri="{FF2B5EF4-FFF2-40B4-BE49-F238E27FC236}">
              <a16:creationId xmlns:a16="http://schemas.microsoft.com/office/drawing/2014/main" id="{7FCF31A2-6F80-EA44-B84E-78CB552CC500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4125" name="AutoShape 29">
          <a:extLst>
            <a:ext uri="{FF2B5EF4-FFF2-40B4-BE49-F238E27FC236}">
              <a16:creationId xmlns:a16="http://schemas.microsoft.com/office/drawing/2014/main" id="{2DDA2A2A-3F35-DC41-B4D3-7B32390A2750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4126" name="AutoShape 30">
          <a:extLst>
            <a:ext uri="{FF2B5EF4-FFF2-40B4-BE49-F238E27FC236}">
              <a16:creationId xmlns:a16="http://schemas.microsoft.com/office/drawing/2014/main" id="{2F2C57CF-CFB1-E440-A1A2-CD371620E25A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4127" name="AutoShape 31">
          <a:extLst>
            <a:ext uri="{FF2B5EF4-FFF2-40B4-BE49-F238E27FC236}">
              <a16:creationId xmlns:a16="http://schemas.microsoft.com/office/drawing/2014/main" id="{8B11676F-3FE4-2841-BE4D-B9E678A1A756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4128" name="AutoShape 32">
          <a:extLst>
            <a:ext uri="{FF2B5EF4-FFF2-40B4-BE49-F238E27FC236}">
              <a16:creationId xmlns:a16="http://schemas.microsoft.com/office/drawing/2014/main" id="{4E430C9B-BD6C-0940-ADC6-0E2397825F52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4129" name="AutoShape 33">
          <a:extLst>
            <a:ext uri="{FF2B5EF4-FFF2-40B4-BE49-F238E27FC236}">
              <a16:creationId xmlns:a16="http://schemas.microsoft.com/office/drawing/2014/main" id="{ECBC4559-DEC3-4A4B-9276-9329551ACF0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4130" name="AutoShape 34">
          <a:extLst>
            <a:ext uri="{FF2B5EF4-FFF2-40B4-BE49-F238E27FC236}">
              <a16:creationId xmlns:a16="http://schemas.microsoft.com/office/drawing/2014/main" id="{2C17B00C-AC16-D346-88B2-E7C952C4F74A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4131" name="AutoShape 35">
          <a:extLst>
            <a:ext uri="{FF2B5EF4-FFF2-40B4-BE49-F238E27FC236}">
              <a16:creationId xmlns:a16="http://schemas.microsoft.com/office/drawing/2014/main" id="{831329AF-4EA8-134A-8196-A0927A001B0C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4132" name="AutoShape 36">
          <a:extLst>
            <a:ext uri="{FF2B5EF4-FFF2-40B4-BE49-F238E27FC236}">
              <a16:creationId xmlns:a16="http://schemas.microsoft.com/office/drawing/2014/main" id="{D0984681-FD39-234A-89CD-4F190DDD0FE7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4133" name="AutoShape 37">
          <a:extLst>
            <a:ext uri="{FF2B5EF4-FFF2-40B4-BE49-F238E27FC236}">
              <a16:creationId xmlns:a16="http://schemas.microsoft.com/office/drawing/2014/main" id="{E87D8CD3-7C41-9F4F-9D07-25CC62E4FB6F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4134" name="AutoShape 38">
          <a:extLst>
            <a:ext uri="{FF2B5EF4-FFF2-40B4-BE49-F238E27FC236}">
              <a16:creationId xmlns:a16="http://schemas.microsoft.com/office/drawing/2014/main" id="{BE6068C9-9AB9-4448-BD86-EE2FA2CE1C7D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4135" name="AutoShape 39">
          <a:extLst>
            <a:ext uri="{FF2B5EF4-FFF2-40B4-BE49-F238E27FC236}">
              <a16:creationId xmlns:a16="http://schemas.microsoft.com/office/drawing/2014/main" id="{CE3CD84C-722E-CB41-AEC3-18E7B59B55CF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4136" name="AutoShape 40">
          <a:extLst>
            <a:ext uri="{FF2B5EF4-FFF2-40B4-BE49-F238E27FC236}">
              <a16:creationId xmlns:a16="http://schemas.microsoft.com/office/drawing/2014/main" id="{5C5F208C-B615-3549-B369-6A621B18C175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4137" name="AutoShape 41">
          <a:extLst>
            <a:ext uri="{FF2B5EF4-FFF2-40B4-BE49-F238E27FC236}">
              <a16:creationId xmlns:a16="http://schemas.microsoft.com/office/drawing/2014/main" id="{714A1EE4-A71F-6546-BF60-D80B5064D9EE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4138" name="AutoShape 42">
          <a:extLst>
            <a:ext uri="{FF2B5EF4-FFF2-40B4-BE49-F238E27FC236}">
              <a16:creationId xmlns:a16="http://schemas.microsoft.com/office/drawing/2014/main" id="{CA374D37-B9BB-1145-B83A-CD76A2A5548A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4139" name="AutoShape 43">
          <a:extLst>
            <a:ext uri="{FF2B5EF4-FFF2-40B4-BE49-F238E27FC236}">
              <a16:creationId xmlns:a16="http://schemas.microsoft.com/office/drawing/2014/main" id="{807B1EFF-3254-4344-99C3-26E82D366910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4140" name="AutoShape 44">
          <a:extLst>
            <a:ext uri="{FF2B5EF4-FFF2-40B4-BE49-F238E27FC236}">
              <a16:creationId xmlns:a16="http://schemas.microsoft.com/office/drawing/2014/main" id="{5E18770A-C2A2-D245-8BF9-BFC15DC2109B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4141" name="AutoShape 45">
          <a:extLst>
            <a:ext uri="{FF2B5EF4-FFF2-40B4-BE49-F238E27FC236}">
              <a16:creationId xmlns:a16="http://schemas.microsoft.com/office/drawing/2014/main" id="{6F4B2741-3479-9046-99AC-634E95C7765E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4142" name="AutoShape 46">
          <a:extLst>
            <a:ext uri="{FF2B5EF4-FFF2-40B4-BE49-F238E27FC236}">
              <a16:creationId xmlns:a16="http://schemas.microsoft.com/office/drawing/2014/main" id="{8C8936CA-600A-CC4E-95D1-E2A5AE1F7D0F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4143" name="AutoShape 47">
          <a:extLst>
            <a:ext uri="{FF2B5EF4-FFF2-40B4-BE49-F238E27FC236}">
              <a16:creationId xmlns:a16="http://schemas.microsoft.com/office/drawing/2014/main" id="{1AEB4699-C606-7F49-849C-E65ECD6214C1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4144" name="AutoShape 48">
          <a:extLst>
            <a:ext uri="{FF2B5EF4-FFF2-40B4-BE49-F238E27FC236}">
              <a16:creationId xmlns:a16="http://schemas.microsoft.com/office/drawing/2014/main" id="{48BDBED0-40B0-DD44-B6CD-A5B5CB4FFA40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4145" name="AutoShape 49">
          <a:extLst>
            <a:ext uri="{FF2B5EF4-FFF2-40B4-BE49-F238E27FC236}">
              <a16:creationId xmlns:a16="http://schemas.microsoft.com/office/drawing/2014/main" id="{0B4ABDEC-0710-FD4B-8335-9765C6206C95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4146" name="AutoShape 50">
          <a:extLst>
            <a:ext uri="{FF2B5EF4-FFF2-40B4-BE49-F238E27FC236}">
              <a16:creationId xmlns:a16="http://schemas.microsoft.com/office/drawing/2014/main" id="{43B11438-C29A-C744-AAF1-7D7C1F9FFAFA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4147" name="AutoShape 51">
          <a:extLst>
            <a:ext uri="{FF2B5EF4-FFF2-40B4-BE49-F238E27FC236}">
              <a16:creationId xmlns:a16="http://schemas.microsoft.com/office/drawing/2014/main" id="{29A3C12F-556C-B244-8F58-AA308B941289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4148" name="AutoShape 52">
          <a:extLst>
            <a:ext uri="{FF2B5EF4-FFF2-40B4-BE49-F238E27FC236}">
              <a16:creationId xmlns:a16="http://schemas.microsoft.com/office/drawing/2014/main" id="{25C6BF74-BB4F-1E4F-B540-10F325470B80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4149" name="AutoShape 53">
          <a:extLst>
            <a:ext uri="{FF2B5EF4-FFF2-40B4-BE49-F238E27FC236}">
              <a16:creationId xmlns:a16="http://schemas.microsoft.com/office/drawing/2014/main" id="{0821404C-5A53-6646-ABC2-543687BF7121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4150" name="AutoShape 54">
          <a:extLst>
            <a:ext uri="{FF2B5EF4-FFF2-40B4-BE49-F238E27FC236}">
              <a16:creationId xmlns:a16="http://schemas.microsoft.com/office/drawing/2014/main" id="{FBB3548F-8D10-8847-A6DE-8320915E380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4151" name="AutoShape 55">
          <a:extLst>
            <a:ext uri="{FF2B5EF4-FFF2-40B4-BE49-F238E27FC236}">
              <a16:creationId xmlns:a16="http://schemas.microsoft.com/office/drawing/2014/main" id="{EAF2036A-FCAF-0A4A-9486-56692F007283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4152" name="AutoShape 56">
          <a:extLst>
            <a:ext uri="{FF2B5EF4-FFF2-40B4-BE49-F238E27FC236}">
              <a16:creationId xmlns:a16="http://schemas.microsoft.com/office/drawing/2014/main" id="{CC6481FE-CF07-E144-B837-46D011002B66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4153" name="AutoShape 57">
          <a:extLst>
            <a:ext uri="{FF2B5EF4-FFF2-40B4-BE49-F238E27FC236}">
              <a16:creationId xmlns:a16="http://schemas.microsoft.com/office/drawing/2014/main" id="{360D249D-EFF5-4943-A737-06EDA887BEFC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4154" name="AutoShape 58">
          <a:extLst>
            <a:ext uri="{FF2B5EF4-FFF2-40B4-BE49-F238E27FC236}">
              <a16:creationId xmlns:a16="http://schemas.microsoft.com/office/drawing/2014/main" id="{4109C982-B4F2-7941-8DFD-75BC67B903BC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4155" name="AutoShape 59">
          <a:extLst>
            <a:ext uri="{FF2B5EF4-FFF2-40B4-BE49-F238E27FC236}">
              <a16:creationId xmlns:a16="http://schemas.microsoft.com/office/drawing/2014/main" id="{FFC9CDC1-C610-9743-9D4F-4B95A7FF6D20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4156" name="AutoShape 60">
          <a:extLst>
            <a:ext uri="{FF2B5EF4-FFF2-40B4-BE49-F238E27FC236}">
              <a16:creationId xmlns:a16="http://schemas.microsoft.com/office/drawing/2014/main" id="{8B6A4063-60ED-C545-AD6B-15B06B0812C3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4157" name="AutoShape 61">
          <a:extLst>
            <a:ext uri="{FF2B5EF4-FFF2-40B4-BE49-F238E27FC236}">
              <a16:creationId xmlns:a16="http://schemas.microsoft.com/office/drawing/2014/main" id="{25DA4DD5-3EB7-D046-AB92-64B80D4E75B5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4158" name="AutoShape 62">
          <a:extLst>
            <a:ext uri="{FF2B5EF4-FFF2-40B4-BE49-F238E27FC236}">
              <a16:creationId xmlns:a16="http://schemas.microsoft.com/office/drawing/2014/main" id="{92A6ACCF-F191-7340-B0D0-930F9A4B3963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4159" name="AutoShape 63">
          <a:extLst>
            <a:ext uri="{FF2B5EF4-FFF2-40B4-BE49-F238E27FC236}">
              <a16:creationId xmlns:a16="http://schemas.microsoft.com/office/drawing/2014/main" id="{FFB398F2-024F-884E-8CE9-CF9449D3963D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4160" name="AutoShape 64">
          <a:extLst>
            <a:ext uri="{FF2B5EF4-FFF2-40B4-BE49-F238E27FC236}">
              <a16:creationId xmlns:a16="http://schemas.microsoft.com/office/drawing/2014/main" id="{05A7B820-E701-FA4A-99F9-56ADB9C0E7B9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7169" name="AutoShape 1">
          <a:extLst>
            <a:ext uri="{FF2B5EF4-FFF2-40B4-BE49-F238E27FC236}">
              <a16:creationId xmlns:a16="http://schemas.microsoft.com/office/drawing/2014/main" id="{157DBF4E-71DD-4B47-BA33-21F469FAB53F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7170" name="AutoShape 2">
          <a:extLst>
            <a:ext uri="{FF2B5EF4-FFF2-40B4-BE49-F238E27FC236}">
              <a16:creationId xmlns:a16="http://schemas.microsoft.com/office/drawing/2014/main" id="{8A7AB923-2B77-0640-92DF-754065023EB5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7171" name="AutoShape 3">
          <a:extLst>
            <a:ext uri="{FF2B5EF4-FFF2-40B4-BE49-F238E27FC236}">
              <a16:creationId xmlns:a16="http://schemas.microsoft.com/office/drawing/2014/main" id="{46AFFFE8-84A4-B543-AE98-6F6B05878886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7172" name="AutoShape 4">
          <a:extLst>
            <a:ext uri="{FF2B5EF4-FFF2-40B4-BE49-F238E27FC236}">
              <a16:creationId xmlns:a16="http://schemas.microsoft.com/office/drawing/2014/main" id="{CBE021E7-B955-3341-AA2A-4854DFBC1FF0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7173" name="AutoShape 5">
          <a:extLst>
            <a:ext uri="{FF2B5EF4-FFF2-40B4-BE49-F238E27FC236}">
              <a16:creationId xmlns:a16="http://schemas.microsoft.com/office/drawing/2014/main" id="{2E9A0080-AD8E-8642-8B1E-01F087C0E58F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174" name="AutoShape 6">
          <a:extLst>
            <a:ext uri="{FF2B5EF4-FFF2-40B4-BE49-F238E27FC236}">
              <a16:creationId xmlns:a16="http://schemas.microsoft.com/office/drawing/2014/main" id="{DF8D5DCA-FCFB-4C4F-8F0C-7D35B145E4B6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7175" name="AutoShape 7">
          <a:extLst>
            <a:ext uri="{FF2B5EF4-FFF2-40B4-BE49-F238E27FC236}">
              <a16:creationId xmlns:a16="http://schemas.microsoft.com/office/drawing/2014/main" id="{E2FD7FCB-0E00-E84A-86AE-4702A9AD6108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7176" name="AutoShape 8">
          <a:extLst>
            <a:ext uri="{FF2B5EF4-FFF2-40B4-BE49-F238E27FC236}">
              <a16:creationId xmlns:a16="http://schemas.microsoft.com/office/drawing/2014/main" id="{8BE71F31-F0DC-BE4E-A211-ED3DB8EB1C02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7177" name="AutoShape 9">
          <a:extLst>
            <a:ext uri="{FF2B5EF4-FFF2-40B4-BE49-F238E27FC236}">
              <a16:creationId xmlns:a16="http://schemas.microsoft.com/office/drawing/2014/main" id="{7CB533A7-E7B1-0C45-84C5-8C854D28EA96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7178" name="AutoShape 10">
          <a:extLst>
            <a:ext uri="{FF2B5EF4-FFF2-40B4-BE49-F238E27FC236}">
              <a16:creationId xmlns:a16="http://schemas.microsoft.com/office/drawing/2014/main" id="{E7AD0B78-2A6C-B64D-9198-90DF15586FB9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7179" name="AutoShape 11">
          <a:extLst>
            <a:ext uri="{FF2B5EF4-FFF2-40B4-BE49-F238E27FC236}">
              <a16:creationId xmlns:a16="http://schemas.microsoft.com/office/drawing/2014/main" id="{F4046CFA-A2C7-FE4C-B60D-C5A0AAB95DED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7180" name="AutoShape 12">
          <a:extLst>
            <a:ext uri="{FF2B5EF4-FFF2-40B4-BE49-F238E27FC236}">
              <a16:creationId xmlns:a16="http://schemas.microsoft.com/office/drawing/2014/main" id="{08C6A306-9B01-E746-9CE0-7C62C24B309D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7181" name="AutoShape 13">
          <a:extLst>
            <a:ext uri="{FF2B5EF4-FFF2-40B4-BE49-F238E27FC236}">
              <a16:creationId xmlns:a16="http://schemas.microsoft.com/office/drawing/2014/main" id="{DB216134-68D2-8042-A940-A0400466380A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7182" name="AutoShape 14">
          <a:extLst>
            <a:ext uri="{FF2B5EF4-FFF2-40B4-BE49-F238E27FC236}">
              <a16:creationId xmlns:a16="http://schemas.microsoft.com/office/drawing/2014/main" id="{F151E96D-6FC2-D146-BDFC-BE1463FB7870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7183" name="AutoShape 15">
          <a:extLst>
            <a:ext uri="{FF2B5EF4-FFF2-40B4-BE49-F238E27FC236}">
              <a16:creationId xmlns:a16="http://schemas.microsoft.com/office/drawing/2014/main" id="{6639EAD7-18E7-A040-B00F-F1CE4F41177F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7184" name="AutoShape 16">
          <a:extLst>
            <a:ext uri="{FF2B5EF4-FFF2-40B4-BE49-F238E27FC236}">
              <a16:creationId xmlns:a16="http://schemas.microsoft.com/office/drawing/2014/main" id="{33B2C0FD-FD95-0A49-9FF5-D179BE6E630A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7185" name="AutoShape 17">
          <a:extLst>
            <a:ext uri="{FF2B5EF4-FFF2-40B4-BE49-F238E27FC236}">
              <a16:creationId xmlns:a16="http://schemas.microsoft.com/office/drawing/2014/main" id="{EBBAC363-20B3-6247-A438-500BD6B2947C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7186" name="AutoShape 18">
          <a:extLst>
            <a:ext uri="{FF2B5EF4-FFF2-40B4-BE49-F238E27FC236}">
              <a16:creationId xmlns:a16="http://schemas.microsoft.com/office/drawing/2014/main" id="{46D31CB3-C9F2-8849-AC0C-0EA9CEA8C4F2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7187" name="AutoShape 19">
          <a:extLst>
            <a:ext uri="{FF2B5EF4-FFF2-40B4-BE49-F238E27FC236}">
              <a16:creationId xmlns:a16="http://schemas.microsoft.com/office/drawing/2014/main" id="{0543DA26-3409-3344-BDFE-60D5C19842F5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7188" name="AutoShape 20">
          <a:extLst>
            <a:ext uri="{FF2B5EF4-FFF2-40B4-BE49-F238E27FC236}">
              <a16:creationId xmlns:a16="http://schemas.microsoft.com/office/drawing/2014/main" id="{06C51C71-21B3-8B49-9573-E5C67DAE4C67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7189" name="AutoShape 21">
          <a:extLst>
            <a:ext uri="{FF2B5EF4-FFF2-40B4-BE49-F238E27FC236}">
              <a16:creationId xmlns:a16="http://schemas.microsoft.com/office/drawing/2014/main" id="{750B98BF-3126-4046-AB12-E974065BB587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7190" name="AutoShape 22">
          <a:extLst>
            <a:ext uri="{FF2B5EF4-FFF2-40B4-BE49-F238E27FC236}">
              <a16:creationId xmlns:a16="http://schemas.microsoft.com/office/drawing/2014/main" id="{94C0527F-6AC9-E047-8304-0F9067DFBC4F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7191" name="AutoShape 23">
          <a:extLst>
            <a:ext uri="{FF2B5EF4-FFF2-40B4-BE49-F238E27FC236}">
              <a16:creationId xmlns:a16="http://schemas.microsoft.com/office/drawing/2014/main" id="{7ED9F538-9BD2-A34F-AC1B-BF193A9A8CB3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7192" name="AutoShape 24">
          <a:extLst>
            <a:ext uri="{FF2B5EF4-FFF2-40B4-BE49-F238E27FC236}">
              <a16:creationId xmlns:a16="http://schemas.microsoft.com/office/drawing/2014/main" id="{46AE5283-5B38-884D-9C40-38700325B1C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7193" name="AutoShape 25">
          <a:extLst>
            <a:ext uri="{FF2B5EF4-FFF2-40B4-BE49-F238E27FC236}">
              <a16:creationId xmlns:a16="http://schemas.microsoft.com/office/drawing/2014/main" id="{B5499E78-CD0B-DA4B-9DAD-4FBCA261E775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7194" name="AutoShape 26">
          <a:extLst>
            <a:ext uri="{FF2B5EF4-FFF2-40B4-BE49-F238E27FC236}">
              <a16:creationId xmlns:a16="http://schemas.microsoft.com/office/drawing/2014/main" id="{A4CC9CB4-3164-BC45-8B22-999CFF87D005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7195" name="AutoShape 27">
          <a:extLst>
            <a:ext uri="{FF2B5EF4-FFF2-40B4-BE49-F238E27FC236}">
              <a16:creationId xmlns:a16="http://schemas.microsoft.com/office/drawing/2014/main" id="{5CD87100-8B08-F54B-ADEB-EB16CCE0E9BF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7196" name="AutoShape 28">
          <a:extLst>
            <a:ext uri="{FF2B5EF4-FFF2-40B4-BE49-F238E27FC236}">
              <a16:creationId xmlns:a16="http://schemas.microsoft.com/office/drawing/2014/main" id="{D2DCB262-8CE5-F44B-8537-752ED9986681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7197" name="AutoShape 29">
          <a:extLst>
            <a:ext uri="{FF2B5EF4-FFF2-40B4-BE49-F238E27FC236}">
              <a16:creationId xmlns:a16="http://schemas.microsoft.com/office/drawing/2014/main" id="{6A53DD03-B3A5-744C-9743-357E4144D4AD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7198" name="AutoShape 30">
          <a:extLst>
            <a:ext uri="{FF2B5EF4-FFF2-40B4-BE49-F238E27FC236}">
              <a16:creationId xmlns:a16="http://schemas.microsoft.com/office/drawing/2014/main" id="{8A62FC8E-F953-C74D-B5D0-A2D2568B3077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7199" name="AutoShape 31">
          <a:extLst>
            <a:ext uri="{FF2B5EF4-FFF2-40B4-BE49-F238E27FC236}">
              <a16:creationId xmlns:a16="http://schemas.microsoft.com/office/drawing/2014/main" id="{890F9A96-6C0A-994A-9F9E-DCD3F8BA190F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7200" name="AutoShape 32">
          <a:extLst>
            <a:ext uri="{FF2B5EF4-FFF2-40B4-BE49-F238E27FC236}">
              <a16:creationId xmlns:a16="http://schemas.microsoft.com/office/drawing/2014/main" id="{C5670CB9-BA4D-F84F-AEBB-11C84605ACB8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7201" name="AutoShape 33">
          <a:extLst>
            <a:ext uri="{FF2B5EF4-FFF2-40B4-BE49-F238E27FC236}">
              <a16:creationId xmlns:a16="http://schemas.microsoft.com/office/drawing/2014/main" id="{93B55C80-BB4E-504A-AB05-3E82A0432FFC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7202" name="AutoShape 34">
          <a:extLst>
            <a:ext uri="{FF2B5EF4-FFF2-40B4-BE49-F238E27FC236}">
              <a16:creationId xmlns:a16="http://schemas.microsoft.com/office/drawing/2014/main" id="{3536B696-301E-8A4F-94DD-C9C9565A3425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7203" name="AutoShape 35">
          <a:extLst>
            <a:ext uri="{FF2B5EF4-FFF2-40B4-BE49-F238E27FC236}">
              <a16:creationId xmlns:a16="http://schemas.microsoft.com/office/drawing/2014/main" id="{84EB1A05-F377-7E48-B73C-53500756A2E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7204" name="AutoShape 36">
          <a:extLst>
            <a:ext uri="{FF2B5EF4-FFF2-40B4-BE49-F238E27FC236}">
              <a16:creationId xmlns:a16="http://schemas.microsoft.com/office/drawing/2014/main" id="{8AEFCEFF-1A22-8047-A3BD-97F3491247AE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7205" name="AutoShape 37">
          <a:extLst>
            <a:ext uri="{FF2B5EF4-FFF2-40B4-BE49-F238E27FC236}">
              <a16:creationId xmlns:a16="http://schemas.microsoft.com/office/drawing/2014/main" id="{A4255C32-9171-3D45-A0E3-A58839223C61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7206" name="AutoShape 38">
          <a:extLst>
            <a:ext uri="{FF2B5EF4-FFF2-40B4-BE49-F238E27FC236}">
              <a16:creationId xmlns:a16="http://schemas.microsoft.com/office/drawing/2014/main" id="{E9A2A464-5180-C341-8899-2AF1463694BA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7207" name="AutoShape 39">
          <a:extLst>
            <a:ext uri="{FF2B5EF4-FFF2-40B4-BE49-F238E27FC236}">
              <a16:creationId xmlns:a16="http://schemas.microsoft.com/office/drawing/2014/main" id="{853E2098-B3A3-F94D-91D7-0ADA8546B0DE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7208" name="AutoShape 40">
          <a:extLst>
            <a:ext uri="{FF2B5EF4-FFF2-40B4-BE49-F238E27FC236}">
              <a16:creationId xmlns:a16="http://schemas.microsoft.com/office/drawing/2014/main" id="{86F866E0-23FA-AB41-92F9-930A9E70691D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7209" name="AutoShape 41">
          <a:extLst>
            <a:ext uri="{FF2B5EF4-FFF2-40B4-BE49-F238E27FC236}">
              <a16:creationId xmlns:a16="http://schemas.microsoft.com/office/drawing/2014/main" id="{42CCD314-82C7-7349-A262-A4CC644983D4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7210" name="AutoShape 42">
          <a:extLst>
            <a:ext uri="{FF2B5EF4-FFF2-40B4-BE49-F238E27FC236}">
              <a16:creationId xmlns:a16="http://schemas.microsoft.com/office/drawing/2014/main" id="{D74BDAB3-2917-7744-9505-6B49C4E61947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7211" name="AutoShape 43">
          <a:extLst>
            <a:ext uri="{FF2B5EF4-FFF2-40B4-BE49-F238E27FC236}">
              <a16:creationId xmlns:a16="http://schemas.microsoft.com/office/drawing/2014/main" id="{6839F25D-EE0A-3346-A582-3E667A1EB8C7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7212" name="AutoShape 44">
          <a:extLst>
            <a:ext uri="{FF2B5EF4-FFF2-40B4-BE49-F238E27FC236}">
              <a16:creationId xmlns:a16="http://schemas.microsoft.com/office/drawing/2014/main" id="{2549B446-3B01-B242-9D5B-BF6272E4E094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7213" name="AutoShape 45">
          <a:extLst>
            <a:ext uri="{FF2B5EF4-FFF2-40B4-BE49-F238E27FC236}">
              <a16:creationId xmlns:a16="http://schemas.microsoft.com/office/drawing/2014/main" id="{BF92EEEB-C1B2-6F4A-A901-958156B048D4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7214" name="AutoShape 46">
          <a:extLst>
            <a:ext uri="{FF2B5EF4-FFF2-40B4-BE49-F238E27FC236}">
              <a16:creationId xmlns:a16="http://schemas.microsoft.com/office/drawing/2014/main" id="{6DCDD7A4-2AF4-5B43-B957-FC88C760E72B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7215" name="AutoShape 47">
          <a:extLst>
            <a:ext uri="{FF2B5EF4-FFF2-40B4-BE49-F238E27FC236}">
              <a16:creationId xmlns:a16="http://schemas.microsoft.com/office/drawing/2014/main" id="{D67C3082-C544-834B-83BF-1E6F687E1377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7216" name="AutoShape 48">
          <a:extLst>
            <a:ext uri="{FF2B5EF4-FFF2-40B4-BE49-F238E27FC236}">
              <a16:creationId xmlns:a16="http://schemas.microsoft.com/office/drawing/2014/main" id="{B8E4FC1E-0F2A-754F-998F-963D629C644F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7217" name="AutoShape 49">
          <a:extLst>
            <a:ext uri="{FF2B5EF4-FFF2-40B4-BE49-F238E27FC236}">
              <a16:creationId xmlns:a16="http://schemas.microsoft.com/office/drawing/2014/main" id="{84B35ABA-5B98-0148-B0D2-850962D9B996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7218" name="AutoShape 50">
          <a:extLst>
            <a:ext uri="{FF2B5EF4-FFF2-40B4-BE49-F238E27FC236}">
              <a16:creationId xmlns:a16="http://schemas.microsoft.com/office/drawing/2014/main" id="{BEAEAEF4-B2B3-0A46-AEE7-52D0A0D4CEC3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7219" name="AutoShape 51">
          <a:extLst>
            <a:ext uri="{FF2B5EF4-FFF2-40B4-BE49-F238E27FC236}">
              <a16:creationId xmlns:a16="http://schemas.microsoft.com/office/drawing/2014/main" id="{8713E721-7374-F541-965C-859585A856A2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7220" name="AutoShape 52">
          <a:extLst>
            <a:ext uri="{FF2B5EF4-FFF2-40B4-BE49-F238E27FC236}">
              <a16:creationId xmlns:a16="http://schemas.microsoft.com/office/drawing/2014/main" id="{5E4F1C58-EC09-B149-8359-0DCFF68580AF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7221" name="AutoShape 53">
          <a:extLst>
            <a:ext uri="{FF2B5EF4-FFF2-40B4-BE49-F238E27FC236}">
              <a16:creationId xmlns:a16="http://schemas.microsoft.com/office/drawing/2014/main" id="{B3839B14-8858-2747-9B77-CB71972326C8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7222" name="AutoShape 54">
          <a:extLst>
            <a:ext uri="{FF2B5EF4-FFF2-40B4-BE49-F238E27FC236}">
              <a16:creationId xmlns:a16="http://schemas.microsoft.com/office/drawing/2014/main" id="{8D45BD96-4A3B-9641-83A8-037CCCCC1E95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7223" name="AutoShape 55">
          <a:extLst>
            <a:ext uri="{FF2B5EF4-FFF2-40B4-BE49-F238E27FC236}">
              <a16:creationId xmlns:a16="http://schemas.microsoft.com/office/drawing/2014/main" id="{8B143008-A4A5-FC4A-B474-FEA68BB4C839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7224" name="AutoShape 56">
          <a:extLst>
            <a:ext uri="{FF2B5EF4-FFF2-40B4-BE49-F238E27FC236}">
              <a16:creationId xmlns:a16="http://schemas.microsoft.com/office/drawing/2014/main" id="{32D6EAC0-2227-3A41-8602-A9E063B435D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7225" name="AutoShape 57">
          <a:extLst>
            <a:ext uri="{FF2B5EF4-FFF2-40B4-BE49-F238E27FC236}">
              <a16:creationId xmlns:a16="http://schemas.microsoft.com/office/drawing/2014/main" id="{D7F42BEA-D4CA-7C45-B2A3-4F97F4550875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7226" name="AutoShape 58">
          <a:extLst>
            <a:ext uri="{FF2B5EF4-FFF2-40B4-BE49-F238E27FC236}">
              <a16:creationId xmlns:a16="http://schemas.microsoft.com/office/drawing/2014/main" id="{0F4B15F1-3B8A-0D40-8E7A-BD6F46E17773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7227" name="AutoShape 59">
          <a:extLst>
            <a:ext uri="{FF2B5EF4-FFF2-40B4-BE49-F238E27FC236}">
              <a16:creationId xmlns:a16="http://schemas.microsoft.com/office/drawing/2014/main" id="{8377C497-9B11-D349-B03F-5769314D9224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7228" name="AutoShape 60">
          <a:extLst>
            <a:ext uri="{FF2B5EF4-FFF2-40B4-BE49-F238E27FC236}">
              <a16:creationId xmlns:a16="http://schemas.microsoft.com/office/drawing/2014/main" id="{9C6BC046-F463-A542-9A33-10B197BBE914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7229" name="AutoShape 61">
          <a:extLst>
            <a:ext uri="{FF2B5EF4-FFF2-40B4-BE49-F238E27FC236}">
              <a16:creationId xmlns:a16="http://schemas.microsoft.com/office/drawing/2014/main" id="{8332AB2D-1440-0D47-BFDE-625F16E81D0A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7230" name="AutoShape 62">
          <a:extLst>
            <a:ext uri="{FF2B5EF4-FFF2-40B4-BE49-F238E27FC236}">
              <a16:creationId xmlns:a16="http://schemas.microsoft.com/office/drawing/2014/main" id="{D38431D4-0E98-F24A-B0CE-53DCBE9B3980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7231" name="AutoShape 63">
          <a:extLst>
            <a:ext uri="{FF2B5EF4-FFF2-40B4-BE49-F238E27FC236}">
              <a16:creationId xmlns:a16="http://schemas.microsoft.com/office/drawing/2014/main" id="{CD1720BD-4CE7-F243-8570-24A79FE8873F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7232" name="AutoShape 64">
          <a:extLst>
            <a:ext uri="{FF2B5EF4-FFF2-40B4-BE49-F238E27FC236}">
              <a16:creationId xmlns:a16="http://schemas.microsoft.com/office/drawing/2014/main" id="{CBF815B0-BC77-CE49-94B7-E5E08C58028B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7F2573E1-729B-4B4C-8CAB-F5A0BDE51A5C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5122" name="AutoShape 2">
          <a:extLst>
            <a:ext uri="{FF2B5EF4-FFF2-40B4-BE49-F238E27FC236}">
              <a16:creationId xmlns:a16="http://schemas.microsoft.com/office/drawing/2014/main" id="{AF06B3AB-11D9-9549-B29F-42A8EB9CC2E6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5123" name="AutoShape 3">
          <a:extLst>
            <a:ext uri="{FF2B5EF4-FFF2-40B4-BE49-F238E27FC236}">
              <a16:creationId xmlns:a16="http://schemas.microsoft.com/office/drawing/2014/main" id="{916E7253-CC61-0E48-BF63-52BA4896C8C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124" name="AutoShape 4">
          <a:extLst>
            <a:ext uri="{FF2B5EF4-FFF2-40B4-BE49-F238E27FC236}">
              <a16:creationId xmlns:a16="http://schemas.microsoft.com/office/drawing/2014/main" id="{DE7816A5-5E2D-314A-B6F5-F957C5722C72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5125" name="AutoShape 5">
          <a:extLst>
            <a:ext uri="{FF2B5EF4-FFF2-40B4-BE49-F238E27FC236}">
              <a16:creationId xmlns:a16="http://schemas.microsoft.com/office/drawing/2014/main" id="{21E2285C-A626-2A4A-9929-54455C9A4B95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5126" name="AutoShape 6">
          <a:extLst>
            <a:ext uri="{FF2B5EF4-FFF2-40B4-BE49-F238E27FC236}">
              <a16:creationId xmlns:a16="http://schemas.microsoft.com/office/drawing/2014/main" id="{33C5052A-BBE0-F54D-8D1A-6D5FA7B9FCB8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5127" name="AutoShape 7">
          <a:extLst>
            <a:ext uri="{FF2B5EF4-FFF2-40B4-BE49-F238E27FC236}">
              <a16:creationId xmlns:a16="http://schemas.microsoft.com/office/drawing/2014/main" id="{7F3D5DE9-8295-1C43-8E9C-36658C811107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5128" name="AutoShape 8">
          <a:extLst>
            <a:ext uri="{FF2B5EF4-FFF2-40B4-BE49-F238E27FC236}">
              <a16:creationId xmlns:a16="http://schemas.microsoft.com/office/drawing/2014/main" id="{A7235B82-5345-8E4E-BD78-9A237264444A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5129" name="AutoShape 9">
          <a:extLst>
            <a:ext uri="{FF2B5EF4-FFF2-40B4-BE49-F238E27FC236}">
              <a16:creationId xmlns:a16="http://schemas.microsoft.com/office/drawing/2014/main" id="{74FB0B1A-CFC4-AF4F-96AA-AD3171F50066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5130" name="AutoShape 10">
          <a:extLst>
            <a:ext uri="{FF2B5EF4-FFF2-40B4-BE49-F238E27FC236}">
              <a16:creationId xmlns:a16="http://schemas.microsoft.com/office/drawing/2014/main" id="{8707BD3A-2B2E-ED48-BB5C-E771BE944010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5131" name="AutoShape 11">
          <a:extLst>
            <a:ext uri="{FF2B5EF4-FFF2-40B4-BE49-F238E27FC236}">
              <a16:creationId xmlns:a16="http://schemas.microsoft.com/office/drawing/2014/main" id="{DF9C71B4-F6A1-CF43-8F11-F2633C15AD08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5132" name="AutoShape 12">
          <a:extLst>
            <a:ext uri="{FF2B5EF4-FFF2-40B4-BE49-F238E27FC236}">
              <a16:creationId xmlns:a16="http://schemas.microsoft.com/office/drawing/2014/main" id="{C9701BE6-C6DE-1140-8B03-32044F3AF467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5133" name="AutoShape 13">
          <a:extLst>
            <a:ext uri="{FF2B5EF4-FFF2-40B4-BE49-F238E27FC236}">
              <a16:creationId xmlns:a16="http://schemas.microsoft.com/office/drawing/2014/main" id="{62099E6D-4BDE-D04B-8E85-AAFFDC2077EB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5134" name="AutoShape 14">
          <a:extLst>
            <a:ext uri="{FF2B5EF4-FFF2-40B4-BE49-F238E27FC236}">
              <a16:creationId xmlns:a16="http://schemas.microsoft.com/office/drawing/2014/main" id="{FE56E351-A89C-D848-8880-99AEC91B1BA2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5135" name="AutoShape 15">
          <a:extLst>
            <a:ext uri="{FF2B5EF4-FFF2-40B4-BE49-F238E27FC236}">
              <a16:creationId xmlns:a16="http://schemas.microsoft.com/office/drawing/2014/main" id="{0D3CE249-068B-D340-9B44-D0DB0A3C5569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5136" name="AutoShape 16">
          <a:extLst>
            <a:ext uri="{FF2B5EF4-FFF2-40B4-BE49-F238E27FC236}">
              <a16:creationId xmlns:a16="http://schemas.microsoft.com/office/drawing/2014/main" id="{36D1612B-4F1E-4947-B3EF-9D425DB8E8F6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5137" name="AutoShape 17">
          <a:extLst>
            <a:ext uri="{FF2B5EF4-FFF2-40B4-BE49-F238E27FC236}">
              <a16:creationId xmlns:a16="http://schemas.microsoft.com/office/drawing/2014/main" id="{338E9C34-EFD1-DF40-904F-F5795FC21423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5138" name="AutoShape 18">
          <a:extLst>
            <a:ext uri="{FF2B5EF4-FFF2-40B4-BE49-F238E27FC236}">
              <a16:creationId xmlns:a16="http://schemas.microsoft.com/office/drawing/2014/main" id="{D4E886AA-F350-9049-89B3-D7DBC7539E3A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5139" name="AutoShape 19">
          <a:extLst>
            <a:ext uri="{FF2B5EF4-FFF2-40B4-BE49-F238E27FC236}">
              <a16:creationId xmlns:a16="http://schemas.microsoft.com/office/drawing/2014/main" id="{DBE6801C-60AE-B346-A107-55BD7B83B8DA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5140" name="AutoShape 20">
          <a:extLst>
            <a:ext uri="{FF2B5EF4-FFF2-40B4-BE49-F238E27FC236}">
              <a16:creationId xmlns:a16="http://schemas.microsoft.com/office/drawing/2014/main" id="{2B639924-C719-2A4C-93F7-05052BCD7047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5141" name="AutoShape 21">
          <a:extLst>
            <a:ext uri="{FF2B5EF4-FFF2-40B4-BE49-F238E27FC236}">
              <a16:creationId xmlns:a16="http://schemas.microsoft.com/office/drawing/2014/main" id="{55760CC0-2927-6A49-B6FA-998126E293C6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5142" name="AutoShape 22">
          <a:extLst>
            <a:ext uri="{FF2B5EF4-FFF2-40B4-BE49-F238E27FC236}">
              <a16:creationId xmlns:a16="http://schemas.microsoft.com/office/drawing/2014/main" id="{F16AA737-3E77-524B-BAA8-0B6B44496476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5143" name="AutoShape 23">
          <a:extLst>
            <a:ext uri="{FF2B5EF4-FFF2-40B4-BE49-F238E27FC236}">
              <a16:creationId xmlns:a16="http://schemas.microsoft.com/office/drawing/2014/main" id="{58CB53FC-AFCE-CC41-92A3-36E5E96BD26B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5144" name="AutoShape 24">
          <a:extLst>
            <a:ext uri="{FF2B5EF4-FFF2-40B4-BE49-F238E27FC236}">
              <a16:creationId xmlns:a16="http://schemas.microsoft.com/office/drawing/2014/main" id="{51C3E553-114F-E74C-95FC-F4D1C16DA80E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5145" name="AutoShape 25">
          <a:extLst>
            <a:ext uri="{FF2B5EF4-FFF2-40B4-BE49-F238E27FC236}">
              <a16:creationId xmlns:a16="http://schemas.microsoft.com/office/drawing/2014/main" id="{3307862E-1CD5-C748-8BB9-E6F581923937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5146" name="AutoShape 26">
          <a:extLst>
            <a:ext uri="{FF2B5EF4-FFF2-40B4-BE49-F238E27FC236}">
              <a16:creationId xmlns:a16="http://schemas.microsoft.com/office/drawing/2014/main" id="{03BDBBA8-A19B-CD41-BEFC-FCF5780B90DE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5147" name="AutoShape 27">
          <a:extLst>
            <a:ext uri="{FF2B5EF4-FFF2-40B4-BE49-F238E27FC236}">
              <a16:creationId xmlns:a16="http://schemas.microsoft.com/office/drawing/2014/main" id="{3A17714E-A0E0-8640-89D3-B57749635539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5148" name="AutoShape 28">
          <a:extLst>
            <a:ext uri="{FF2B5EF4-FFF2-40B4-BE49-F238E27FC236}">
              <a16:creationId xmlns:a16="http://schemas.microsoft.com/office/drawing/2014/main" id="{37B29E1E-3E82-EC4B-B0CC-702900A247CA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5149" name="AutoShape 29">
          <a:extLst>
            <a:ext uri="{FF2B5EF4-FFF2-40B4-BE49-F238E27FC236}">
              <a16:creationId xmlns:a16="http://schemas.microsoft.com/office/drawing/2014/main" id="{4560CBDC-DA3A-184A-A192-26F9F66732B9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5150" name="AutoShape 30">
          <a:extLst>
            <a:ext uri="{FF2B5EF4-FFF2-40B4-BE49-F238E27FC236}">
              <a16:creationId xmlns:a16="http://schemas.microsoft.com/office/drawing/2014/main" id="{A2AFC8EC-6A0C-D54C-9879-C1C63977B7EA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5151" name="AutoShape 31">
          <a:extLst>
            <a:ext uri="{FF2B5EF4-FFF2-40B4-BE49-F238E27FC236}">
              <a16:creationId xmlns:a16="http://schemas.microsoft.com/office/drawing/2014/main" id="{F4DA4936-0DC3-1047-ABC3-719100C37099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5152" name="AutoShape 32">
          <a:extLst>
            <a:ext uri="{FF2B5EF4-FFF2-40B4-BE49-F238E27FC236}">
              <a16:creationId xmlns:a16="http://schemas.microsoft.com/office/drawing/2014/main" id="{811C9230-B790-9540-A507-1816A96EF326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2</xdr:row>
      <xdr:rowOff>101600</xdr:rowOff>
    </xdr:to>
    <xdr:sp macro="" textlink="">
      <xdr:nvSpPr>
        <xdr:cNvPr id="5153" name="AutoShape 33">
          <a:extLst>
            <a:ext uri="{FF2B5EF4-FFF2-40B4-BE49-F238E27FC236}">
              <a16:creationId xmlns:a16="http://schemas.microsoft.com/office/drawing/2014/main" id="{838814AD-9823-C949-A7E9-091EBFDA8F35}"/>
            </a:ext>
          </a:extLst>
        </xdr:cNvPr>
        <xdr:cNvSpPr>
          <a:spLocks noChangeAspect="1" noChangeArrowheads="1"/>
        </xdr:cNvSpPr>
      </xdr:nvSpPr>
      <xdr:spPr bwMode="auto">
        <a:xfrm>
          <a:off x="0" y="20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304800</xdr:colOff>
      <xdr:row>4</xdr:row>
      <xdr:rowOff>101600</xdr:rowOff>
    </xdr:to>
    <xdr:sp macro="" textlink="">
      <xdr:nvSpPr>
        <xdr:cNvPr id="5154" name="AutoShape 34">
          <a:extLst>
            <a:ext uri="{FF2B5EF4-FFF2-40B4-BE49-F238E27FC236}">
              <a16:creationId xmlns:a16="http://schemas.microsoft.com/office/drawing/2014/main" id="{7BF8D1AA-1255-5E44-8328-860377EF0424}"/>
            </a:ext>
          </a:extLst>
        </xdr:cNvPr>
        <xdr:cNvSpPr>
          <a:spLocks noChangeAspect="1" noChangeArrowheads="1"/>
        </xdr:cNvSpPr>
      </xdr:nvSpPr>
      <xdr:spPr bwMode="auto">
        <a:xfrm>
          <a:off x="0" y="60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</xdr:row>
      <xdr:rowOff>0</xdr:rowOff>
    </xdr:from>
    <xdr:to>
      <xdr:col>0</xdr:col>
      <xdr:colOff>304800</xdr:colOff>
      <xdr:row>6</xdr:row>
      <xdr:rowOff>101600</xdr:rowOff>
    </xdr:to>
    <xdr:sp macro="" textlink="">
      <xdr:nvSpPr>
        <xdr:cNvPr id="5155" name="AutoShape 35">
          <a:extLst>
            <a:ext uri="{FF2B5EF4-FFF2-40B4-BE49-F238E27FC236}">
              <a16:creationId xmlns:a16="http://schemas.microsoft.com/office/drawing/2014/main" id="{1FE70280-DBFA-F14E-8C81-3BDF8C59FBB8}"/>
            </a:ext>
          </a:extLst>
        </xdr:cNvPr>
        <xdr:cNvSpPr>
          <a:spLocks noChangeAspect="1" noChangeArrowheads="1"/>
        </xdr:cNvSpPr>
      </xdr:nvSpPr>
      <xdr:spPr bwMode="auto">
        <a:xfrm>
          <a:off x="0" y="10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7</xdr:row>
      <xdr:rowOff>0</xdr:rowOff>
    </xdr:from>
    <xdr:to>
      <xdr:col>0</xdr:col>
      <xdr:colOff>304800</xdr:colOff>
      <xdr:row>8</xdr:row>
      <xdr:rowOff>101600</xdr:rowOff>
    </xdr:to>
    <xdr:sp macro="" textlink="">
      <xdr:nvSpPr>
        <xdr:cNvPr id="5156" name="AutoShape 36">
          <a:extLst>
            <a:ext uri="{FF2B5EF4-FFF2-40B4-BE49-F238E27FC236}">
              <a16:creationId xmlns:a16="http://schemas.microsoft.com/office/drawing/2014/main" id="{BB07EFF7-730A-C045-B3A0-41F1DE49478D}"/>
            </a:ext>
          </a:extLst>
        </xdr:cNvPr>
        <xdr:cNvSpPr>
          <a:spLocks noChangeAspect="1" noChangeArrowheads="1"/>
        </xdr:cNvSpPr>
      </xdr:nvSpPr>
      <xdr:spPr bwMode="auto">
        <a:xfrm>
          <a:off x="0" y="142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304800</xdr:colOff>
      <xdr:row>10</xdr:row>
      <xdr:rowOff>101600</xdr:rowOff>
    </xdr:to>
    <xdr:sp macro="" textlink="">
      <xdr:nvSpPr>
        <xdr:cNvPr id="5157" name="AutoShape 37">
          <a:extLst>
            <a:ext uri="{FF2B5EF4-FFF2-40B4-BE49-F238E27FC236}">
              <a16:creationId xmlns:a16="http://schemas.microsoft.com/office/drawing/2014/main" id="{B2770CE3-7915-9745-BFED-C6E7A2B57DC7}"/>
            </a:ext>
          </a:extLst>
        </xdr:cNvPr>
        <xdr:cNvSpPr>
          <a:spLocks noChangeAspect="1" noChangeArrowheads="1"/>
        </xdr:cNvSpPr>
      </xdr:nvSpPr>
      <xdr:spPr bwMode="auto">
        <a:xfrm>
          <a:off x="0" y="182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0</xdr:col>
      <xdr:colOff>304800</xdr:colOff>
      <xdr:row>12</xdr:row>
      <xdr:rowOff>101600</xdr:rowOff>
    </xdr:to>
    <xdr:sp macro="" textlink="">
      <xdr:nvSpPr>
        <xdr:cNvPr id="5158" name="AutoShape 38">
          <a:extLst>
            <a:ext uri="{FF2B5EF4-FFF2-40B4-BE49-F238E27FC236}">
              <a16:creationId xmlns:a16="http://schemas.microsoft.com/office/drawing/2014/main" id="{C3FBE498-79FE-7B4B-A469-EE3E941DFE54}"/>
            </a:ext>
          </a:extLst>
        </xdr:cNvPr>
        <xdr:cNvSpPr>
          <a:spLocks noChangeAspect="1" noChangeArrowheads="1"/>
        </xdr:cNvSpPr>
      </xdr:nvSpPr>
      <xdr:spPr bwMode="auto">
        <a:xfrm>
          <a:off x="0" y="223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304800</xdr:colOff>
      <xdr:row>14</xdr:row>
      <xdr:rowOff>101600</xdr:rowOff>
    </xdr:to>
    <xdr:sp macro="" textlink="">
      <xdr:nvSpPr>
        <xdr:cNvPr id="5159" name="AutoShape 39">
          <a:extLst>
            <a:ext uri="{FF2B5EF4-FFF2-40B4-BE49-F238E27FC236}">
              <a16:creationId xmlns:a16="http://schemas.microsoft.com/office/drawing/2014/main" id="{34C55BB7-2ED9-6645-B484-071B0A490A1A}"/>
            </a:ext>
          </a:extLst>
        </xdr:cNvPr>
        <xdr:cNvSpPr>
          <a:spLocks noChangeAspect="1" noChangeArrowheads="1"/>
        </xdr:cNvSpPr>
      </xdr:nvSpPr>
      <xdr:spPr bwMode="auto">
        <a:xfrm>
          <a:off x="0" y="264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15</xdr:row>
      <xdr:rowOff>0</xdr:rowOff>
    </xdr:from>
    <xdr:to>
      <xdr:col>0</xdr:col>
      <xdr:colOff>304800</xdr:colOff>
      <xdr:row>16</xdr:row>
      <xdr:rowOff>101600</xdr:rowOff>
    </xdr:to>
    <xdr:sp macro="" textlink="">
      <xdr:nvSpPr>
        <xdr:cNvPr id="5160" name="AutoShape 40">
          <a:extLst>
            <a:ext uri="{FF2B5EF4-FFF2-40B4-BE49-F238E27FC236}">
              <a16:creationId xmlns:a16="http://schemas.microsoft.com/office/drawing/2014/main" id="{BF4EE24E-792F-2A40-BE81-A457CED802D5}"/>
            </a:ext>
          </a:extLst>
        </xdr:cNvPr>
        <xdr:cNvSpPr>
          <a:spLocks noChangeAspect="1" noChangeArrowheads="1"/>
        </xdr:cNvSpPr>
      </xdr:nvSpPr>
      <xdr:spPr bwMode="auto">
        <a:xfrm>
          <a:off x="0" y="304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304800</xdr:colOff>
      <xdr:row>18</xdr:row>
      <xdr:rowOff>101600</xdr:rowOff>
    </xdr:to>
    <xdr:sp macro="" textlink="">
      <xdr:nvSpPr>
        <xdr:cNvPr id="5161" name="AutoShape 41">
          <a:extLst>
            <a:ext uri="{FF2B5EF4-FFF2-40B4-BE49-F238E27FC236}">
              <a16:creationId xmlns:a16="http://schemas.microsoft.com/office/drawing/2014/main" id="{ABD954F4-6E29-C74B-84F2-D2CDE6F0A33B}"/>
            </a:ext>
          </a:extLst>
        </xdr:cNvPr>
        <xdr:cNvSpPr>
          <a:spLocks noChangeAspect="1" noChangeArrowheads="1"/>
        </xdr:cNvSpPr>
      </xdr:nvSpPr>
      <xdr:spPr bwMode="auto">
        <a:xfrm>
          <a:off x="0" y="345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19</xdr:row>
      <xdr:rowOff>0</xdr:rowOff>
    </xdr:from>
    <xdr:to>
      <xdr:col>0</xdr:col>
      <xdr:colOff>304800</xdr:colOff>
      <xdr:row>20</xdr:row>
      <xdr:rowOff>101600</xdr:rowOff>
    </xdr:to>
    <xdr:sp macro="" textlink="">
      <xdr:nvSpPr>
        <xdr:cNvPr id="5162" name="AutoShape 42">
          <a:extLst>
            <a:ext uri="{FF2B5EF4-FFF2-40B4-BE49-F238E27FC236}">
              <a16:creationId xmlns:a16="http://schemas.microsoft.com/office/drawing/2014/main" id="{E5E1EAD9-90B3-7346-A925-C2A24662CE6B}"/>
            </a:ext>
          </a:extLst>
        </xdr:cNvPr>
        <xdr:cNvSpPr>
          <a:spLocks noChangeAspect="1" noChangeArrowheads="1"/>
        </xdr:cNvSpPr>
      </xdr:nvSpPr>
      <xdr:spPr bwMode="auto">
        <a:xfrm>
          <a:off x="0" y="38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0</xdr:col>
      <xdr:colOff>304800</xdr:colOff>
      <xdr:row>22</xdr:row>
      <xdr:rowOff>101600</xdr:rowOff>
    </xdr:to>
    <xdr:sp macro="" textlink="">
      <xdr:nvSpPr>
        <xdr:cNvPr id="5163" name="AutoShape 43">
          <a:extLst>
            <a:ext uri="{FF2B5EF4-FFF2-40B4-BE49-F238E27FC236}">
              <a16:creationId xmlns:a16="http://schemas.microsoft.com/office/drawing/2014/main" id="{AC1C1E44-C12E-134E-867A-293A6B6E5E3B}"/>
            </a:ext>
          </a:extLst>
        </xdr:cNvPr>
        <xdr:cNvSpPr>
          <a:spLocks noChangeAspect="1" noChangeArrowheads="1"/>
        </xdr:cNvSpPr>
      </xdr:nvSpPr>
      <xdr:spPr bwMode="auto">
        <a:xfrm>
          <a:off x="0" y="426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23</xdr:row>
      <xdr:rowOff>0</xdr:rowOff>
    </xdr:from>
    <xdr:to>
      <xdr:col>0</xdr:col>
      <xdr:colOff>304800</xdr:colOff>
      <xdr:row>24</xdr:row>
      <xdr:rowOff>101600</xdr:rowOff>
    </xdr:to>
    <xdr:sp macro="" textlink="">
      <xdr:nvSpPr>
        <xdr:cNvPr id="5164" name="AutoShape 44">
          <a:extLst>
            <a:ext uri="{FF2B5EF4-FFF2-40B4-BE49-F238E27FC236}">
              <a16:creationId xmlns:a16="http://schemas.microsoft.com/office/drawing/2014/main" id="{8E8FFCE5-20B2-9445-9FB5-A7783A05A724}"/>
            </a:ext>
          </a:extLst>
        </xdr:cNvPr>
        <xdr:cNvSpPr>
          <a:spLocks noChangeAspect="1" noChangeArrowheads="1"/>
        </xdr:cNvSpPr>
      </xdr:nvSpPr>
      <xdr:spPr bwMode="auto">
        <a:xfrm>
          <a:off x="0" y="467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25</xdr:row>
      <xdr:rowOff>0</xdr:rowOff>
    </xdr:from>
    <xdr:to>
      <xdr:col>0</xdr:col>
      <xdr:colOff>304800</xdr:colOff>
      <xdr:row>26</xdr:row>
      <xdr:rowOff>101600</xdr:rowOff>
    </xdr:to>
    <xdr:sp macro="" textlink="">
      <xdr:nvSpPr>
        <xdr:cNvPr id="5165" name="AutoShape 45">
          <a:extLst>
            <a:ext uri="{FF2B5EF4-FFF2-40B4-BE49-F238E27FC236}">
              <a16:creationId xmlns:a16="http://schemas.microsoft.com/office/drawing/2014/main" id="{D77981E5-EFA6-B844-9253-790009E616F7}"/>
            </a:ext>
          </a:extLst>
        </xdr:cNvPr>
        <xdr:cNvSpPr>
          <a:spLocks noChangeAspect="1" noChangeArrowheads="1"/>
        </xdr:cNvSpPr>
      </xdr:nvSpPr>
      <xdr:spPr bwMode="auto">
        <a:xfrm>
          <a:off x="0" y="508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27</xdr:row>
      <xdr:rowOff>0</xdr:rowOff>
    </xdr:from>
    <xdr:to>
      <xdr:col>0</xdr:col>
      <xdr:colOff>304800</xdr:colOff>
      <xdr:row>28</xdr:row>
      <xdr:rowOff>101600</xdr:rowOff>
    </xdr:to>
    <xdr:sp macro="" textlink="">
      <xdr:nvSpPr>
        <xdr:cNvPr id="5166" name="AutoShape 46">
          <a:extLst>
            <a:ext uri="{FF2B5EF4-FFF2-40B4-BE49-F238E27FC236}">
              <a16:creationId xmlns:a16="http://schemas.microsoft.com/office/drawing/2014/main" id="{3E45BE5F-7F5A-2447-91B5-9093972A4D08}"/>
            </a:ext>
          </a:extLst>
        </xdr:cNvPr>
        <xdr:cNvSpPr>
          <a:spLocks noChangeAspect="1" noChangeArrowheads="1"/>
        </xdr:cNvSpPr>
      </xdr:nvSpPr>
      <xdr:spPr bwMode="auto">
        <a:xfrm>
          <a:off x="0" y="548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29</xdr:row>
      <xdr:rowOff>0</xdr:rowOff>
    </xdr:from>
    <xdr:to>
      <xdr:col>0</xdr:col>
      <xdr:colOff>304800</xdr:colOff>
      <xdr:row>30</xdr:row>
      <xdr:rowOff>101600</xdr:rowOff>
    </xdr:to>
    <xdr:sp macro="" textlink="">
      <xdr:nvSpPr>
        <xdr:cNvPr id="5167" name="AutoShape 47">
          <a:extLst>
            <a:ext uri="{FF2B5EF4-FFF2-40B4-BE49-F238E27FC236}">
              <a16:creationId xmlns:a16="http://schemas.microsoft.com/office/drawing/2014/main" id="{42B0F192-B9C2-BD4D-A728-8BEF7F2C43AD}"/>
            </a:ext>
          </a:extLst>
        </xdr:cNvPr>
        <xdr:cNvSpPr>
          <a:spLocks noChangeAspect="1" noChangeArrowheads="1"/>
        </xdr:cNvSpPr>
      </xdr:nvSpPr>
      <xdr:spPr bwMode="auto">
        <a:xfrm>
          <a:off x="0" y="589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31</xdr:row>
      <xdr:rowOff>0</xdr:rowOff>
    </xdr:from>
    <xdr:to>
      <xdr:col>0</xdr:col>
      <xdr:colOff>304800</xdr:colOff>
      <xdr:row>32</xdr:row>
      <xdr:rowOff>101600</xdr:rowOff>
    </xdr:to>
    <xdr:sp macro="" textlink="">
      <xdr:nvSpPr>
        <xdr:cNvPr id="5168" name="AutoShape 48">
          <a:extLst>
            <a:ext uri="{FF2B5EF4-FFF2-40B4-BE49-F238E27FC236}">
              <a16:creationId xmlns:a16="http://schemas.microsoft.com/office/drawing/2014/main" id="{00525C07-B577-0743-910D-2CC5EF44067D}"/>
            </a:ext>
          </a:extLst>
        </xdr:cNvPr>
        <xdr:cNvSpPr>
          <a:spLocks noChangeAspect="1" noChangeArrowheads="1"/>
        </xdr:cNvSpPr>
      </xdr:nvSpPr>
      <xdr:spPr bwMode="auto">
        <a:xfrm>
          <a:off x="0" y="629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33</xdr:row>
      <xdr:rowOff>0</xdr:rowOff>
    </xdr:from>
    <xdr:to>
      <xdr:col>0</xdr:col>
      <xdr:colOff>304800</xdr:colOff>
      <xdr:row>34</xdr:row>
      <xdr:rowOff>101600</xdr:rowOff>
    </xdr:to>
    <xdr:sp macro="" textlink="">
      <xdr:nvSpPr>
        <xdr:cNvPr id="5169" name="AutoShape 49">
          <a:extLst>
            <a:ext uri="{FF2B5EF4-FFF2-40B4-BE49-F238E27FC236}">
              <a16:creationId xmlns:a16="http://schemas.microsoft.com/office/drawing/2014/main" id="{869A5E91-C069-294B-858B-309DE8EED4A5}"/>
            </a:ext>
          </a:extLst>
        </xdr:cNvPr>
        <xdr:cNvSpPr>
          <a:spLocks noChangeAspect="1" noChangeArrowheads="1"/>
        </xdr:cNvSpPr>
      </xdr:nvSpPr>
      <xdr:spPr bwMode="auto">
        <a:xfrm>
          <a:off x="0" y="670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35</xdr:row>
      <xdr:rowOff>0</xdr:rowOff>
    </xdr:from>
    <xdr:to>
      <xdr:col>0</xdr:col>
      <xdr:colOff>304800</xdr:colOff>
      <xdr:row>36</xdr:row>
      <xdr:rowOff>101600</xdr:rowOff>
    </xdr:to>
    <xdr:sp macro="" textlink="">
      <xdr:nvSpPr>
        <xdr:cNvPr id="5170" name="AutoShape 50">
          <a:extLst>
            <a:ext uri="{FF2B5EF4-FFF2-40B4-BE49-F238E27FC236}">
              <a16:creationId xmlns:a16="http://schemas.microsoft.com/office/drawing/2014/main" id="{D6C4A04F-F39D-1844-8E2B-4DE0363E892D}"/>
            </a:ext>
          </a:extLst>
        </xdr:cNvPr>
        <xdr:cNvSpPr>
          <a:spLocks noChangeAspect="1" noChangeArrowheads="1"/>
        </xdr:cNvSpPr>
      </xdr:nvSpPr>
      <xdr:spPr bwMode="auto">
        <a:xfrm>
          <a:off x="0" y="711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37</xdr:row>
      <xdr:rowOff>0</xdr:rowOff>
    </xdr:from>
    <xdr:to>
      <xdr:col>0</xdr:col>
      <xdr:colOff>304800</xdr:colOff>
      <xdr:row>38</xdr:row>
      <xdr:rowOff>101600</xdr:rowOff>
    </xdr:to>
    <xdr:sp macro="" textlink="">
      <xdr:nvSpPr>
        <xdr:cNvPr id="5171" name="AutoShape 51">
          <a:extLst>
            <a:ext uri="{FF2B5EF4-FFF2-40B4-BE49-F238E27FC236}">
              <a16:creationId xmlns:a16="http://schemas.microsoft.com/office/drawing/2014/main" id="{0132BEC7-8E41-FA40-B400-FD4992890EFA}"/>
            </a:ext>
          </a:extLst>
        </xdr:cNvPr>
        <xdr:cNvSpPr>
          <a:spLocks noChangeAspect="1" noChangeArrowheads="1"/>
        </xdr:cNvSpPr>
      </xdr:nvSpPr>
      <xdr:spPr bwMode="auto">
        <a:xfrm>
          <a:off x="0" y="751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39</xdr:row>
      <xdr:rowOff>0</xdr:rowOff>
    </xdr:from>
    <xdr:to>
      <xdr:col>0</xdr:col>
      <xdr:colOff>304800</xdr:colOff>
      <xdr:row>40</xdr:row>
      <xdr:rowOff>101600</xdr:rowOff>
    </xdr:to>
    <xdr:sp macro="" textlink="">
      <xdr:nvSpPr>
        <xdr:cNvPr id="5172" name="AutoShape 52">
          <a:extLst>
            <a:ext uri="{FF2B5EF4-FFF2-40B4-BE49-F238E27FC236}">
              <a16:creationId xmlns:a16="http://schemas.microsoft.com/office/drawing/2014/main" id="{C0AF40F8-15AF-6A45-9D1B-F78DF5973E90}"/>
            </a:ext>
          </a:extLst>
        </xdr:cNvPr>
        <xdr:cNvSpPr>
          <a:spLocks noChangeAspect="1" noChangeArrowheads="1"/>
        </xdr:cNvSpPr>
      </xdr:nvSpPr>
      <xdr:spPr bwMode="auto">
        <a:xfrm>
          <a:off x="0" y="792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41</xdr:row>
      <xdr:rowOff>0</xdr:rowOff>
    </xdr:from>
    <xdr:to>
      <xdr:col>0</xdr:col>
      <xdr:colOff>304800</xdr:colOff>
      <xdr:row>42</xdr:row>
      <xdr:rowOff>101600</xdr:rowOff>
    </xdr:to>
    <xdr:sp macro="" textlink="">
      <xdr:nvSpPr>
        <xdr:cNvPr id="5173" name="AutoShape 53">
          <a:extLst>
            <a:ext uri="{FF2B5EF4-FFF2-40B4-BE49-F238E27FC236}">
              <a16:creationId xmlns:a16="http://schemas.microsoft.com/office/drawing/2014/main" id="{448799A9-F2D0-6F45-9597-C7949B6B2965}"/>
            </a:ext>
          </a:extLst>
        </xdr:cNvPr>
        <xdr:cNvSpPr>
          <a:spLocks noChangeAspect="1" noChangeArrowheads="1"/>
        </xdr:cNvSpPr>
      </xdr:nvSpPr>
      <xdr:spPr bwMode="auto">
        <a:xfrm>
          <a:off x="0" y="833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43</xdr:row>
      <xdr:rowOff>0</xdr:rowOff>
    </xdr:from>
    <xdr:to>
      <xdr:col>0</xdr:col>
      <xdr:colOff>304800</xdr:colOff>
      <xdr:row>44</xdr:row>
      <xdr:rowOff>101600</xdr:rowOff>
    </xdr:to>
    <xdr:sp macro="" textlink="">
      <xdr:nvSpPr>
        <xdr:cNvPr id="5174" name="AutoShape 54">
          <a:extLst>
            <a:ext uri="{FF2B5EF4-FFF2-40B4-BE49-F238E27FC236}">
              <a16:creationId xmlns:a16="http://schemas.microsoft.com/office/drawing/2014/main" id="{920B7E98-3C23-884D-9E7F-44E11F50ED5C}"/>
            </a:ext>
          </a:extLst>
        </xdr:cNvPr>
        <xdr:cNvSpPr>
          <a:spLocks noChangeAspect="1" noChangeArrowheads="1"/>
        </xdr:cNvSpPr>
      </xdr:nvSpPr>
      <xdr:spPr bwMode="auto">
        <a:xfrm>
          <a:off x="0" y="873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45</xdr:row>
      <xdr:rowOff>0</xdr:rowOff>
    </xdr:from>
    <xdr:to>
      <xdr:col>0</xdr:col>
      <xdr:colOff>304800</xdr:colOff>
      <xdr:row>46</xdr:row>
      <xdr:rowOff>101600</xdr:rowOff>
    </xdr:to>
    <xdr:sp macro="" textlink="">
      <xdr:nvSpPr>
        <xdr:cNvPr id="5175" name="AutoShape 55">
          <a:extLst>
            <a:ext uri="{FF2B5EF4-FFF2-40B4-BE49-F238E27FC236}">
              <a16:creationId xmlns:a16="http://schemas.microsoft.com/office/drawing/2014/main" id="{C18F077F-4F1D-7246-B295-47A771681D3D}"/>
            </a:ext>
          </a:extLst>
        </xdr:cNvPr>
        <xdr:cNvSpPr>
          <a:spLocks noChangeAspect="1" noChangeArrowheads="1"/>
        </xdr:cNvSpPr>
      </xdr:nvSpPr>
      <xdr:spPr bwMode="auto">
        <a:xfrm>
          <a:off x="0" y="914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47</xdr:row>
      <xdr:rowOff>0</xdr:rowOff>
    </xdr:from>
    <xdr:to>
      <xdr:col>0</xdr:col>
      <xdr:colOff>304800</xdr:colOff>
      <xdr:row>48</xdr:row>
      <xdr:rowOff>101600</xdr:rowOff>
    </xdr:to>
    <xdr:sp macro="" textlink="">
      <xdr:nvSpPr>
        <xdr:cNvPr id="5176" name="AutoShape 56">
          <a:extLst>
            <a:ext uri="{FF2B5EF4-FFF2-40B4-BE49-F238E27FC236}">
              <a16:creationId xmlns:a16="http://schemas.microsoft.com/office/drawing/2014/main" id="{09199203-725C-944B-8569-E2644F11F97A}"/>
            </a:ext>
          </a:extLst>
        </xdr:cNvPr>
        <xdr:cNvSpPr>
          <a:spLocks noChangeAspect="1" noChangeArrowheads="1"/>
        </xdr:cNvSpPr>
      </xdr:nvSpPr>
      <xdr:spPr bwMode="auto">
        <a:xfrm>
          <a:off x="0" y="955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49</xdr:row>
      <xdr:rowOff>0</xdr:rowOff>
    </xdr:from>
    <xdr:to>
      <xdr:col>0</xdr:col>
      <xdr:colOff>304800</xdr:colOff>
      <xdr:row>50</xdr:row>
      <xdr:rowOff>101600</xdr:rowOff>
    </xdr:to>
    <xdr:sp macro="" textlink="">
      <xdr:nvSpPr>
        <xdr:cNvPr id="5177" name="AutoShape 57">
          <a:extLst>
            <a:ext uri="{FF2B5EF4-FFF2-40B4-BE49-F238E27FC236}">
              <a16:creationId xmlns:a16="http://schemas.microsoft.com/office/drawing/2014/main" id="{E4CE57E1-BC60-A547-8B99-C34A2AB4C920}"/>
            </a:ext>
          </a:extLst>
        </xdr:cNvPr>
        <xdr:cNvSpPr>
          <a:spLocks noChangeAspect="1" noChangeArrowheads="1"/>
        </xdr:cNvSpPr>
      </xdr:nvSpPr>
      <xdr:spPr bwMode="auto">
        <a:xfrm>
          <a:off x="0" y="995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51</xdr:row>
      <xdr:rowOff>0</xdr:rowOff>
    </xdr:from>
    <xdr:to>
      <xdr:col>0</xdr:col>
      <xdr:colOff>304800</xdr:colOff>
      <xdr:row>52</xdr:row>
      <xdr:rowOff>101600</xdr:rowOff>
    </xdr:to>
    <xdr:sp macro="" textlink="">
      <xdr:nvSpPr>
        <xdr:cNvPr id="5178" name="AutoShape 58">
          <a:extLst>
            <a:ext uri="{FF2B5EF4-FFF2-40B4-BE49-F238E27FC236}">
              <a16:creationId xmlns:a16="http://schemas.microsoft.com/office/drawing/2014/main" id="{843C0FC5-8AAE-DD42-B103-44AF7EC5CAAE}"/>
            </a:ext>
          </a:extLst>
        </xdr:cNvPr>
        <xdr:cNvSpPr>
          <a:spLocks noChangeAspect="1" noChangeArrowheads="1"/>
        </xdr:cNvSpPr>
      </xdr:nvSpPr>
      <xdr:spPr bwMode="auto">
        <a:xfrm>
          <a:off x="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53</xdr:row>
      <xdr:rowOff>0</xdr:rowOff>
    </xdr:from>
    <xdr:to>
      <xdr:col>0</xdr:col>
      <xdr:colOff>304800</xdr:colOff>
      <xdr:row>54</xdr:row>
      <xdr:rowOff>101600</xdr:rowOff>
    </xdr:to>
    <xdr:sp macro="" textlink="">
      <xdr:nvSpPr>
        <xdr:cNvPr id="5179" name="AutoShape 59">
          <a:extLst>
            <a:ext uri="{FF2B5EF4-FFF2-40B4-BE49-F238E27FC236}">
              <a16:creationId xmlns:a16="http://schemas.microsoft.com/office/drawing/2014/main" id="{D3F0B8CA-832F-E446-983A-F641A7C938AD}"/>
            </a:ext>
          </a:extLst>
        </xdr:cNvPr>
        <xdr:cNvSpPr>
          <a:spLocks noChangeAspect="1" noChangeArrowheads="1"/>
        </xdr:cNvSpPr>
      </xdr:nvSpPr>
      <xdr:spPr bwMode="auto">
        <a:xfrm>
          <a:off x="0" y="1076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55</xdr:row>
      <xdr:rowOff>0</xdr:rowOff>
    </xdr:from>
    <xdr:to>
      <xdr:col>0</xdr:col>
      <xdr:colOff>304800</xdr:colOff>
      <xdr:row>56</xdr:row>
      <xdr:rowOff>101600</xdr:rowOff>
    </xdr:to>
    <xdr:sp macro="" textlink="">
      <xdr:nvSpPr>
        <xdr:cNvPr id="5180" name="AutoShape 60">
          <a:extLst>
            <a:ext uri="{FF2B5EF4-FFF2-40B4-BE49-F238E27FC236}">
              <a16:creationId xmlns:a16="http://schemas.microsoft.com/office/drawing/2014/main" id="{F6FDD13A-20CB-9D4B-B9CA-162C5EF2DEB9}"/>
            </a:ext>
          </a:extLst>
        </xdr:cNvPr>
        <xdr:cNvSpPr>
          <a:spLocks noChangeAspect="1" noChangeArrowheads="1"/>
        </xdr:cNvSpPr>
      </xdr:nvSpPr>
      <xdr:spPr bwMode="auto">
        <a:xfrm>
          <a:off x="0" y="1117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57</xdr:row>
      <xdr:rowOff>0</xdr:rowOff>
    </xdr:from>
    <xdr:to>
      <xdr:col>0</xdr:col>
      <xdr:colOff>304800</xdr:colOff>
      <xdr:row>58</xdr:row>
      <xdr:rowOff>101600</xdr:rowOff>
    </xdr:to>
    <xdr:sp macro="" textlink="">
      <xdr:nvSpPr>
        <xdr:cNvPr id="5181" name="AutoShape 61">
          <a:extLst>
            <a:ext uri="{FF2B5EF4-FFF2-40B4-BE49-F238E27FC236}">
              <a16:creationId xmlns:a16="http://schemas.microsoft.com/office/drawing/2014/main" id="{A9835B5E-9AC9-A94B-8CB9-D83A485B9F87}"/>
            </a:ext>
          </a:extLst>
        </xdr:cNvPr>
        <xdr:cNvSpPr>
          <a:spLocks noChangeAspect="1" noChangeArrowheads="1"/>
        </xdr:cNvSpPr>
      </xdr:nvSpPr>
      <xdr:spPr bwMode="auto">
        <a:xfrm>
          <a:off x="0" y="1158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59</xdr:row>
      <xdr:rowOff>0</xdr:rowOff>
    </xdr:from>
    <xdr:to>
      <xdr:col>0</xdr:col>
      <xdr:colOff>304800</xdr:colOff>
      <xdr:row>60</xdr:row>
      <xdr:rowOff>101600</xdr:rowOff>
    </xdr:to>
    <xdr:sp macro="" textlink="">
      <xdr:nvSpPr>
        <xdr:cNvPr id="5182" name="AutoShape 62">
          <a:extLst>
            <a:ext uri="{FF2B5EF4-FFF2-40B4-BE49-F238E27FC236}">
              <a16:creationId xmlns:a16="http://schemas.microsoft.com/office/drawing/2014/main" id="{E99A3DB8-FE17-6D4F-8E09-75BB790B8372}"/>
            </a:ext>
          </a:extLst>
        </xdr:cNvPr>
        <xdr:cNvSpPr>
          <a:spLocks noChangeAspect="1" noChangeArrowheads="1"/>
        </xdr:cNvSpPr>
      </xdr:nvSpPr>
      <xdr:spPr bwMode="auto">
        <a:xfrm>
          <a:off x="0" y="1198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61</xdr:row>
      <xdr:rowOff>0</xdr:rowOff>
    </xdr:from>
    <xdr:to>
      <xdr:col>0</xdr:col>
      <xdr:colOff>304800</xdr:colOff>
      <xdr:row>62</xdr:row>
      <xdr:rowOff>101600</xdr:rowOff>
    </xdr:to>
    <xdr:sp macro="" textlink="">
      <xdr:nvSpPr>
        <xdr:cNvPr id="5183" name="AutoShape 63">
          <a:extLst>
            <a:ext uri="{FF2B5EF4-FFF2-40B4-BE49-F238E27FC236}">
              <a16:creationId xmlns:a16="http://schemas.microsoft.com/office/drawing/2014/main" id="{0A328786-16EF-C444-82DB-9EEEBABDF5D4}"/>
            </a:ext>
          </a:extLst>
        </xdr:cNvPr>
        <xdr:cNvSpPr>
          <a:spLocks noChangeAspect="1" noChangeArrowheads="1"/>
        </xdr:cNvSpPr>
      </xdr:nvSpPr>
      <xdr:spPr bwMode="auto">
        <a:xfrm>
          <a:off x="0" y="1239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63</xdr:row>
      <xdr:rowOff>0</xdr:rowOff>
    </xdr:from>
    <xdr:to>
      <xdr:col>0</xdr:col>
      <xdr:colOff>304800</xdr:colOff>
      <xdr:row>64</xdr:row>
      <xdr:rowOff>101600</xdr:rowOff>
    </xdr:to>
    <xdr:sp macro="" textlink="">
      <xdr:nvSpPr>
        <xdr:cNvPr id="5184" name="AutoShape 64">
          <a:extLst>
            <a:ext uri="{FF2B5EF4-FFF2-40B4-BE49-F238E27FC236}">
              <a16:creationId xmlns:a16="http://schemas.microsoft.com/office/drawing/2014/main" id="{59CF8538-0648-BD42-92F7-873DADA58B0C}"/>
            </a:ext>
          </a:extLst>
        </xdr:cNvPr>
        <xdr:cNvSpPr>
          <a:spLocks noChangeAspect="1" noChangeArrowheads="1"/>
        </xdr:cNvSpPr>
      </xdr:nvSpPr>
      <xdr:spPr bwMode="auto">
        <a:xfrm>
          <a:off x="0" y="1280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nfl.com/stats/team-stats/offense/passing/2021/reg/al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www.nfl.com/stats/team-stats/defense/rushing/2021/reg/all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espn.com/nfl/boxscore/_/gameId/401326383" TargetMode="External"/><Relationship Id="rId299" Type="http://schemas.openxmlformats.org/officeDocument/2006/relationships/hyperlink" Target="http://www.espn.com/nfl/boxscore/_/gameId/401326393" TargetMode="External"/><Relationship Id="rId21" Type="http://schemas.openxmlformats.org/officeDocument/2006/relationships/hyperlink" Target="http://www.espn.com/nfl/boxscore/_/gameId/401326426" TargetMode="External"/><Relationship Id="rId63" Type="http://schemas.openxmlformats.org/officeDocument/2006/relationships/hyperlink" Target="http://www.espn.com/nfl/boxscore/_/gameId/401326412" TargetMode="External"/><Relationship Id="rId159" Type="http://schemas.openxmlformats.org/officeDocument/2006/relationships/hyperlink" Target="http://www.espn.com/nfl/boxscore/_/gameId/401326392" TargetMode="External"/><Relationship Id="rId324" Type="http://schemas.openxmlformats.org/officeDocument/2006/relationships/hyperlink" Target="http://www.espn.com/nfl/boxscore/_/gameId/401326320" TargetMode="External"/><Relationship Id="rId366" Type="http://schemas.openxmlformats.org/officeDocument/2006/relationships/hyperlink" Target="http://www.espn.com/nfl/boxscore/_/gameId/401326308" TargetMode="External"/><Relationship Id="rId170" Type="http://schemas.openxmlformats.org/officeDocument/2006/relationships/hyperlink" Target="http://www.espn.com/nfl/boxscore/_/gameId/401326310" TargetMode="External"/><Relationship Id="rId226" Type="http://schemas.openxmlformats.org/officeDocument/2006/relationships/hyperlink" Target="http://www.espn.com/nfl/boxscore/_/gameId/401326321" TargetMode="External"/><Relationship Id="rId433" Type="http://schemas.openxmlformats.org/officeDocument/2006/relationships/hyperlink" Target="http://www.espn.com/nfl/boxscore/_/gameId/401326502" TargetMode="External"/><Relationship Id="rId268" Type="http://schemas.openxmlformats.org/officeDocument/2006/relationships/hyperlink" Target="http://www.espn.com/nfl/boxscore/_/gameId/401326313" TargetMode="External"/><Relationship Id="rId32" Type="http://schemas.openxmlformats.org/officeDocument/2006/relationships/hyperlink" Target="http://www.espn.com/nfl/boxscore/_/gameId/401326366" TargetMode="External"/><Relationship Id="rId74" Type="http://schemas.openxmlformats.org/officeDocument/2006/relationships/hyperlink" Target="http://www.espn.com/nfl/boxscore/_/gameId/401326365" TargetMode="External"/><Relationship Id="rId128" Type="http://schemas.openxmlformats.org/officeDocument/2006/relationships/hyperlink" Target="http://www.espn.com/nfl/boxscore/_/gameId/401326320" TargetMode="External"/><Relationship Id="rId335" Type="http://schemas.openxmlformats.org/officeDocument/2006/relationships/hyperlink" Target="http://www.espn.com/nfl/boxscore/_/gameId/401326516" TargetMode="External"/><Relationship Id="rId377" Type="http://schemas.openxmlformats.org/officeDocument/2006/relationships/hyperlink" Target="http://www.espn.com/nfl/boxscore/_/gameId/401326520" TargetMode="External"/><Relationship Id="rId5" Type="http://schemas.openxmlformats.org/officeDocument/2006/relationships/hyperlink" Target="http://www.espn.com/nfl/boxscore/_/gameId/401326389" TargetMode="External"/><Relationship Id="rId181" Type="http://schemas.openxmlformats.org/officeDocument/2006/relationships/hyperlink" Target="http://www.espn.com/nfl/boxscore/_/gameId/401326514" TargetMode="External"/><Relationship Id="rId237" Type="http://schemas.openxmlformats.org/officeDocument/2006/relationships/hyperlink" Target="http://www.espn.com/nfl/boxscore/_/gameId/401326518" TargetMode="External"/><Relationship Id="rId402" Type="http://schemas.openxmlformats.org/officeDocument/2006/relationships/hyperlink" Target="http://www.espn.com/nfl/boxscore/_/gameId/401326476" TargetMode="External"/><Relationship Id="rId279" Type="http://schemas.openxmlformats.org/officeDocument/2006/relationships/hyperlink" Target="http://www.espn.com/nfl/boxscore/_/gameId/401326501" TargetMode="External"/><Relationship Id="rId444" Type="http://schemas.openxmlformats.org/officeDocument/2006/relationships/hyperlink" Target="http://www.espn.com/nfl/boxscore/_/gameId/401326472" TargetMode="External"/><Relationship Id="rId43" Type="http://schemas.openxmlformats.org/officeDocument/2006/relationships/hyperlink" Target="http://www.espn.com/nfl/team/_/name/buf/buffalo-bills" TargetMode="External"/><Relationship Id="rId139" Type="http://schemas.openxmlformats.org/officeDocument/2006/relationships/hyperlink" Target="http://www.espn.com/nfl/boxscore/_/gameId/401326515" TargetMode="External"/><Relationship Id="rId290" Type="http://schemas.openxmlformats.org/officeDocument/2006/relationships/hyperlink" Target="http://www.espn.com/nfl/boxscore/_/gameId/401326474" TargetMode="External"/><Relationship Id="rId304" Type="http://schemas.openxmlformats.org/officeDocument/2006/relationships/hyperlink" Target="http://www.espn.com/nfl/boxscore/_/gameId/401326453" TargetMode="External"/><Relationship Id="rId346" Type="http://schemas.openxmlformats.org/officeDocument/2006/relationships/hyperlink" Target="http://www.espn.com/nfl/boxscore/_/gameId/401326469" TargetMode="External"/><Relationship Id="rId388" Type="http://schemas.openxmlformats.org/officeDocument/2006/relationships/hyperlink" Target="http://www.espn.com/nfl/boxscore/_/gameId/401326478" TargetMode="External"/><Relationship Id="rId85" Type="http://schemas.openxmlformats.org/officeDocument/2006/relationships/hyperlink" Target="http://www.espn.com/nfl/team/_/name/cin/cincinnati-bengals" TargetMode="External"/><Relationship Id="rId150" Type="http://schemas.openxmlformats.org/officeDocument/2006/relationships/hyperlink" Target="http://www.espn.com/nfl/boxscore/_/gameId/401326470" TargetMode="External"/><Relationship Id="rId192" Type="http://schemas.openxmlformats.org/officeDocument/2006/relationships/hyperlink" Target="http://www.espn.com/nfl/boxscore/_/gameId/401326451" TargetMode="External"/><Relationship Id="rId206" Type="http://schemas.openxmlformats.org/officeDocument/2006/relationships/hyperlink" Target="http://www.espn.com/nfl/boxscore/_/gameId/401326467" TargetMode="External"/><Relationship Id="rId413" Type="http://schemas.openxmlformats.org/officeDocument/2006/relationships/hyperlink" Target="http://www.espn.com/nfl/boxscore/_/gameId/401326410" TargetMode="External"/><Relationship Id="rId248" Type="http://schemas.openxmlformats.org/officeDocument/2006/relationships/hyperlink" Target="http://www.espn.com/nfl/boxscore/_/gameId/401326463" TargetMode="External"/><Relationship Id="rId12" Type="http://schemas.openxmlformats.org/officeDocument/2006/relationships/hyperlink" Target="http://www.espn.com/nfl/boxscore/_/gameId/401326491" TargetMode="External"/><Relationship Id="rId108" Type="http://schemas.openxmlformats.org/officeDocument/2006/relationships/hyperlink" Target="http://www.espn.com/nfl/boxscore/_/gameId/401326454" TargetMode="External"/><Relationship Id="rId315" Type="http://schemas.openxmlformats.org/officeDocument/2006/relationships/hyperlink" Target="http://www.espn.com/nfl/boxscore/_/gameId/401326435" TargetMode="External"/><Relationship Id="rId357" Type="http://schemas.openxmlformats.org/officeDocument/2006/relationships/hyperlink" Target="http://www.espn.com/nfl/boxscore/_/gameId/401326410" TargetMode="External"/><Relationship Id="rId54" Type="http://schemas.openxmlformats.org/officeDocument/2006/relationships/hyperlink" Target="http://www.espn.com/nfl/boxscore/_/gameId/401326496" TargetMode="External"/><Relationship Id="rId96" Type="http://schemas.openxmlformats.org/officeDocument/2006/relationships/hyperlink" Target="http://www.espn.com/nfl/boxscore/_/gameId/401326497" TargetMode="External"/><Relationship Id="rId161" Type="http://schemas.openxmlformats.org/officeDocument/2006/relationships/hyperlink" Target="http://www.espn.com/nfl/boxscore/_/gameId/401326413" TargetMode="External"/><Relationship Id="rId217" Type="http://schemas.openxmlformats.org/officeDocument/2006/relationships/hyperlink" Target="http://www.espn.com/nfl/boxscore/_/gameId/401326417" TargetMode="External"/><Relationship Id="rId399" Type="http://schemas.openxmlformats.org/officeDocument/2006/relationships/hyperlink" Target="http://www.espn.com/nfl/boxscore/_/gameId/401326421" TargetMode="External"/><Relationship Id="rId259" Type="http://schemas.openxmlformats.org/officeDocument/2006/relationships/hyperlink" Target="http://www.espn.com/nfl/boxscore/_/gameId/401326411" TargetMode="External"/><Relationship Id="rId424" Type="http://schemas.openxmlformats.org/officeDocument/2006/relationships/hyperlink" Target="http://www.espn.com/nfl/boxscore/_/gameId/401326372" TargetMode="External"/><Relationship Id="rId23" Type="http://schemas.openxmlformats.org/officeDocument/2006/relationships/hyperlink" Target="http://www.espn.com/nfl/boxscore/_/gameId/401326458" TargetMode="External"/><Relationship Id="rId119" Type="http://schemas.openxmlformats.org/officeDocument/2006/relationships/hyperlink" Target="http://www.espn.com/nfl/boxscore/_/gameId/401326420" TargetMode="External"/><Relationship Id="rId270" Type="http://schemas.openxmlformats.org/officeDocument/2006/relationships/hyperlink" Target="http://www.espn.com/nfl/boxscore/_/gameId/401326374" TargetMode="External"/><Relationship Id="rId326" Type="http://schemas.openxmlformats.org/officeDocument/2006/relationships/hyperlink" Target="http://www.espn.com/nfl/boxscore/_/gameId/401326370" TargetMode="External"/><Relationship Id="rId65" Type="http://schemas.openxmlformats.org/officeDocument/2006/relationships/hyperlink" Target="http://www.espn.com/nfl/boxscore/_/gameId/401326437" TargetMode="External"/><Relationship Id="rId130" Type="http://schemas.openxmlformats.org/officeDocument/2006/relationships/hyperlink" Target="http://www.espn.com/nfl/boxscore/_/gameId/401326373" TargetMode="External"/><Relationship Id="rId368" Type="http://schemas.openxmlformats.org/officeDocument/2006/relationships/hyperlink" Target="http://www.espn.com/nfl/boxscore/_/gameId/401326371" TargetMode="External"/><Relationship Id="rId172" Type="http://schemas.openxmlformats.org/officeDocument/2006/relationships/hyperlink" Target="http://www.espn.com/nfl/boxscore/_/gameId/401326363" TargetMode="External"/><Relationship Id="rId228" Type="http://schemas.openxmlformats.org/officeDocument/2006/relationships/hyperlink" Target="http://www.espn.com/nfl/boxscore/_/gameId/401326374" TargetMode="External"/><Relationship Id="rId435" Type="http://schemas.openxmlformats.org/officeDocument/2006/relationships/hyperlink" Target="http://www.espn.com/nfl/team/_/name/wsh/washington-null" TargetMode="External"/><Relationship Id="rId281" Type="http://schemas.openxmlformats.org/officeDocument/2006/relationships/hyperlink" Target="http://www.espn.com/nfl/team/_/name/min/minnesota-vikings" TargetMode="External"/><Relationship Id="rId337" Type="http://schemas.openxmlformats.org/officeDocument/2006/relationships/hyperlink" Target="http://www.espn.com/nfl/team/_/name/nyj/new-york-jets" TargetMode="External"/><Relationship Id="rId34" Type="http://schemas.openxmlformats.org/officeDocument/2006/relationships/hyperlink" Target="http://www.espn.com/nfl/boxscore/_/gameId/401326409" TargetMode="External"/><Relationship Id="rId76" Type="http://schemas.openxmlformats.org/officeDocument/2006/relationships/hyperlink" Target="http://www.espn.com/nfl/boxscore/_/gameId/401326405" TargetMode="External"/><Relationship Id="rId141" Type="http://schemas.openxmlformats.org/officeDocument/2006/relationships/hyperlink" Target="http://www.espn.com/nfl/team/_/name/det/detroit-lions" TargetMode="External"/><Relationship Id="rId379" Type="http://schemas.openxmlformats.org/officeDocument/2006/relationships/hyperlink" Target="http://www.espn.com/nfl/team/_/name/sf/san-francisco-49ers" TargetMode="External"/><Relationship Id="rId7" Type="http://schemas.openxmlformats.org/officeDocument/2006/relationships/hyperlink" Target="http://www.espn.com/nfl/boxscore/_/gameId/401326418" TargetMode="External"/><Relationship Id="rId183" Type="http://schemas.openxmlformats.org/officeDocument/2006/relationships/hyperlink" Target="http://www.espn.com/nfl/team/_/name/ind/indianapolis-colts" TargetMode="External"/><Relationship Id="rId239" Type="http://schemas.openxmlformats.org/officeDocument/2006/relationships/hyperlink" Target="http://www.espn.com/nfl/team/_/name/lar/los-angeles-rams" TargetMode="External"/><Relationship Id="rId390" Type="http://schemas.openxmlformats.org/officeDocument/2006/relationships/hyperlink" Target="http://www.espn.com/nfl/boxscore/_/gameId/401326506" TargetMode="External"/><Relationship Id="rId404" Type="http://schemas.openxmlformats.org/officeDocument/2006/relationships/hyperlink" Target="http://www.espn.com/nfl/boxscore/_/gameId/401326508" TargetMode="External"/><Relationship Id="rId446" Type="http://schemas.openxmlformats.org/officeDocument/2006/relationships/hyperlink" Target="http://www.espn.com/nfl/boxscore/_/gameId/401326508" TargetMode="External"/><Relationship Id="rId250" Type="http://schemas.openxmlformats.org/officeDocument/2006/relationships/hyperlink" Target="http://www.espn.com/nfl/boxscore/_/gameId/401326505" TargetMode="External"/><Relationship Id="rId292" Type="http://schemas.openxmlformats.org/officeDocument/2006/relationships/hyperlink" Target="http://www.espn.com/nfl/boxscore/_/gameId/401326506" TargetMode="External"/><Relationship Id="rId306" Type="http://schemas.openxmlformats.org/officeDocument/2006/relationships/hyperlink" Target="http://www.espn.com/nfl/boxscore/_/gameId/401326479" TargetMode="External"/><Relationship Id="rId45" Type="http://schemas.openxmlformats.org/officeDocument/2006/relationships/hyperlink" Target="http://www.espn.com/nfl/boxscore/_/gameId/401326353" TargetMode="External"/><Relationship Id="rId87" Type="http://schemas.openxmlformats.org/officeDocument/2006/relationships/hyperlink" Target="http://www.espn.com/nfl/boxscore/_/gameId/401326129" TargetMode="External"/><Relationship Id="rId110" Type="http://schemas.openxmlformats.org/officeDocument/2006/relationships/hyperlink" Target="http://www.espn.com/nfl/boxscore/_/gameId/401326483" TargetMode="External"/><Relationship Id="rId348" Type="http://schemas.openxmlformats.org/officeDocument/2006/relationships/hyperlink" Target="http://www.espn.com/nfl/boxscore/_/gameId/401326498" TargetMode="External"/><Relationship Id="rId152" Type="http://schemas.openxmlformats.org/officeDocument/2006/relationships/hyperlink" Target="http://www.espn.com/nfl/boxscore/_/gameId/401326494" TargetMode="External"/><Relationship Id="rId194" Type="http://schemas.openxmlformats.org/officeDocument/2006/relationships/hyperlink" Target="http://www.espn.com/nfl/boxscore/_/gameId/401326480" TargetMode="External"/><Relationship Id="rId208" Type="http://schemas.openxmlformats.org/officeDocument/2006/relationships/hyperlink" Target="http://www.espn.com/nfl/boxscore/_/gameId/401326500" TargetMode="External"/><Relationship Id="rId415" Type="http://schemas.openxmlformats.org/officeDocument/2006/relationships/hyperlink" Target="http://www.espn.com/nfl/boxscore/_/gameId/401326448" TargetMode="External"/><Relationship Id="rId261" Type="http://schemas.openxmlformats.org/officeDocument/2006/relationships/hyperlink" Target="http://www.espn.com/nfl/boxscore/_/gameId/401326460" TargetMode="External"/><Relationship Id="rId14" Type="http://schemas.openxmlformats.org/officeDocument/2006/relationships/hyperlink" Target="http://www.espn.com/nfl/boxscore/_/gameId/401326536" TargetMode="External"/><Relationship Id="rId56" Type="http://schemas.openxmlformats.org/officeDocument/2006/relationships/hyperlink" Target="http://www.espn.com/nfl/boxscore/_/gameId/401326534" TargetMode="External"/><Relationship Id="rId317" Type="http://schemas.openxmlformats.org/officeDocument/2006/relationships/hyperlink" Target="http://www.espn.com/nfl/boxscore/_/gameId/401326458" TargetMode="External"/><Relationship Id="rId359" Type="http://schemas.openxmlformats.org/officeDocument/2006/relationships/hyperlink" Target="http://www.espn.com/nfl/boxscore/_/gameId/401326441" TargetMode="External"/><Relationship Id="rId98" Type="http://schemas.openxmlformats.org/officeDocument/2006/relationships/hyperlink" Target="http://www.espn.com/nfl/boxscore/_/gameId/401326525" TargetMode="External"/><Relationship Id="rId121" Type="http://schemas.openxmlformats.org/officeDocument/2006/relationships/hyperlink" Target="http://www.espn.com/nfl/boxscore/_/gameId/401326455" TargetMode="External"/><Relationship Id="rId163" Type="http://schemas.openxmlformats.org/officeDocument/2006/relationships/hyperlink" Target="http://www.espn.com/nfl/boxscore/_/gameId/401326436" TargetMode="External"/><Relationship Id="rId219" Type="http://schemas.openxmlformats.org/officeDocument/2006/relationships/hyperlink" Target="http://www.espn.com/nfl/boxscore/_/gameId/401326450" TargetMode="External"/><Relationship Id="rId370" Type="http://schemas.openxmlformats.org/officeDocument/2006/relationships/hyperlink" Target="http://www.espn.com/nfl/boxscore/_/gameId/401326401" TargetMode="External"/><Relationship Id="rId426" Type="http://schemas.openxmlformats.org/officeDocument/2006/relationships/hyperlink" Target="http://www.espn.com/nfl/boxscore/_/gameId/401326399" TargetMode="External"/><Relationship Id="rId230" Type="http://schemas.openxmlformats.org/officeDocument/2006/relationships/hyperlink" Target="http://www.espn.com/nfl/boxscore/_/gameId/401326405" TargetMode="External"/><Relationship Id="rId25" Type="http://schemas.openxmlformats.org/officeDocument/2006/relationships/hyperlink" Target="http://www.espn.com/nfl/boxscore/_/gameId/401326479" TargetMode="External"/><Relationship Id="rId67" Type="http://schemas.openxmlformats.org/officeDocument/2006/relationships/hyperlink" Target="http://www.espn.com/nfl/boxscore/_/gameId/401326473" TargetMode="External"/><Relationship Id="rId272" Type="http://schemas.openxmlformats.org/officeDocument/2006/relationships/hyperlink" Target="http://www.espn.com/nfl/boxscore/_/gameId/401326402" TargetMode="External"/><Relationship Id="rId328" Type="http://schemas.openxmlformats.org/officeDocument/2006/relationships/hyperlink" Target="http://www.espn.com/nfl/boxscore/_/gameId/401326407" TargetMode="External"/><Relationship Id="rId132" Type="http://schemas.openxmlformats.org/officeDocument/2006/relationships/hyperlink" Target="http://www.espn.com/nfl/boxscore/_/gameId/401326401" TargetMode="External"/><Relationship Id="rId174" Type="http://schemas.openxmlformats.org/officeDocument/2006/relationships/hyperlink" Target="http://www.espn.com/nfl/boxscore/_/gameId/401326398" TargetMode="External"/><Relationship Id="rId381" Type="http://schemas.openxmlformats.org/officeDocument/2006/relationships/hyperlink" Target="http://www.espn.com/nfl/boxscore/_/gameId/401326355" TargetMode="External"/><Relationship Id="rId241" Type="http://schemas.openxmlformats.org/officeDocument/2006/relationships/hyperlink" Target="http://www.espn.com/nfl/boxscore/_/gameId/401326131" TargetMode="External"/><Relationship Id="rId437" Type="http://schemas.openxmlformats.org/officeDocument/2006/relationships/hyperlink" Target="http://www.espn.com/nfl/boxscore/_/gameId/401326127" TargetMode="External"/><Relationship Id="rId36" Type="http://schemas.openxmlformats.org/officeDocument/2006/relationships/hyperlink" Target="http://www.espn.com/nfl/boxscore/_/gameId/401326424" TargetMode="External"/><Relationship Id="rId283" Type="http://schemas.openxmlformats.org/officeDocument/2006/relationships/hyperlink" Target="http://www.espn.com/nfl/boxscore/_/gameId/401326357" TargetMode="External"/><Relationship Id="rId339" Type="http://schemas.openxmlformats.org/officeDocument/2006/relationships/hyperlink" Target="http://www.espn.com/nfl/boxscore/_/gameId/401326354" TargetMode="External"/><Relationship Id="rId78" Type="http://schemas.openxmlformats.org/officeDocument/2006/relationships/hyperlink" Target="http://www.espn.com/nfl/boxscore/_/gameId/401326433" TargetMode="External"/><Relationship Id="rId101" Type="http://schemas.openxmlformats.org/officeDocument/2006/relationships/hyperlink" Target="http://www.espn.com/nfl/boxscore/_/gameId/401326130" TargetMode="External"/><Relationship Id="rId143" Type="http://schemas.openxmlformats.org/officeDocument/2006/relationships/hyperlink" Target="http://www.espn.com/nfl/boxscore/_/gameId/401326362" TargetMode="External"/><Relationship Id="rId185" Type="http://schemas.openxmlformats.org/officeDocument/2006/relationships/hyperlink" Target="http://www.espn.com/nfl/boxscore/_/gameId/401326131" TargetMode="External"/><Relationship Id="rId350" Type="http://schemas.openxmlformats.org/officeDocument/2006/relationships/hyperlink" Target="http://www.espn.com/nfl/boxscore/_/gameId/401326529" TargetMode="External"/><Relationship Id="rId406" Type="http://schemas.openxmlformats.org/officeDocument/2006/relationships/hyperlink" Target="http://www.espn.com/nfl/boxscore/_/gameId/401326527" TargetMode="External"/><Relationship Id="rId9" Type="http://schemas.openxmlformats.org/officeDocument/2006/relationships/hyperlink" Target="http://www.espn.com/nfl/boxscore/_/gameId/401326436" TargetMode="External"/><Relationship Id="rId210" Type="http://schemas.openxmlformats.org/officeDocument/2006/relationships/hyperlink" Target="http://www.espn.com/nfl/boxscore/_/gameId/401326530" TargetMode="External"/><Relationship Id="rId392" Type="http://schemas.openxmlformats.org/officeDocument/2006/relationships/hyperlink" Target="http://www.espn.com/nfl/boxscore/_/gameId/401326525" TargetMode="External"/><Relationship Id="rId448" Type="http://schemas.openxmlformats.org/officeDocument/2006/relationships/hyperlink" Target="http://www.espn.com/nfl/boxscore/_/gameId/401326531" TargetMode="External"/><Relationship Id="rId252" Type="http://schemas.openxmlformats.org/officeDocument/2006/relationships/hyperlink" Target="http://www.espn.com/nfl/boxscore/_/gameId/401326536" TargetMode="External"/><Relationship Id="rId294" Type="http://schemas.openxmlformats.org/officeDocument/2006/relationships/hyperlink" Target="http://www.espn.com/nfl/boxscore/_/gameId/401326523" TargetMode="External"/><Relationship Id="rId308" Type="http://schemas.openxmlformats.org/officeDocument/2006/relationships/hyperlink" Target="http://www.espn.com/nfl/boxscore/_/gameId/401326522" TargetMode="External"/><Relationship Id="rId47" Type="http://schemas.openxmlformats.org/officeDocument/2006/relationships/hyperlink" Target="http://www.espn.com/nfl/boxscore/_/gameId/401326381" TargetMode="External"/><Relationship Id="rId89" Type="http://schemas.openxmlformats.org/officeDocument/2006/relationships/hyperlink" Target="http://www.espn.com/nfl/boxscore/_/gameId/401326379" TargetMode="External"/><Relationship Id="rId112" Type="http://schemas.openxmlformats.org/officeDocument/2006/relationships/hyperlink" Target="http://www.espn.com/nfl/boxscore/_/gameId/401326526" TargetMode="External"/><Relationship Id="rId154" Type="http://schemas.openxmlformats.org/officeDocument/2006/relationships/hyperlink" Target="http://www.espn.com/nfl/boxscore/_/gameId/401326532" TargetMode="External"/><Relationship Id="rId361" Type="http://schemas.openxmlformats.org/officeDocument/2006/relationships/hyperlink" Target="http://www.espn.com/nfl/boxscore/_/gameId/401326475" TargetMode="External"/><Relationship Id="rId196" Type="http://schemas.openxmlformats.org/officeDocument/2006/relationships/hyperlink" Target="http://www.espn.com/nfl/boxscore/_/gameId/401326514" TargetMode="External"/><Relationship Id="rId417" Type="http://schemas.openxmlformats.org/officeDocument/2006/relationships/hyperlink" Target="http://www.espn.com/nfl/boxscore/_/gameId/401326493" TargetMode="External"/><Relationship Id="rId16" Type="http://schemas.openxmlformats.org/officeDocument/2006/relationships/hyperlink" Target="http://www.espn.com/nfl/boxscore/_/gameId/401326315" TargetMode="External"/><Relationship Id="rId221" Type="http://schemas.openxmlformats.org/officeDocument/2006/relationships/hyperlink" Target="http://www.espn.com/nfl/boxscore/_/gameId/401326477" TargetMode="External"/><Relationship Id="rId263" Type="http://schemas.openxmlformats.org/officeDocument/2006/relationships/hyperlink" Target="http://www.espn.com/nfl/boxscore/_/gameId/401326492" TargetMode="External"/><Relationship Id="rId319" Type="http://schemas.openxmlformats.org/officeDocument/2006/relationships/hyperlink" Target="http://www.espn.com/nfl/boxscore/_/gameId/401326487" TargetMode="External"/><Relationship Id="rId58" Type="http://schemas.openxmlformats.org/officeDocument/2006/relationships/hyperlink" Target="http://www.espn.com/nfl/boxscore/_/gameId/401326309" TargetMode="External"/><Relationship Id="rId123" Type="http://schemas.openxmlformats.org/officeDocument/2006/relationships/hyperlink" Target="http://www.espn.com/nfl/boxscore/_/gameId/401326490" TargetMode="External"/><Relationship Id="rId330" Type="http://schemas.openxmlformats.org/officeDocument/2006/relationships/hyperlink" Target="http://www.espn.com/nfl/boxscore/_/gameId/401326428" TargetMode="External"/><Relationship Id="rId165" Type="http://schemas.openxmlformats.org/officeDocument/2006/relationships/hyperlink" Target="http://www.espn.com/nfl/boxscore/_/gameId/401326476" TargetMode="External"/><Relationship Id="rId372" Type="http://schemas.openxmlformats.org/officeDocument/2006/relationships/hyperlink" Target="http://www.espn.com/nfl/boxscore/_/gameId/401326440" TargetMode="External"/><Relationship Id="rId428" Type="http://schemas.openxmlformats.org/officeDocument/2006/relationships/hyperlink" Target="http://www.espn.com/nfl/boxscore/_/gameId/401326429" TargetMode="External"/><Relationship Id="rId232" Type="http://schemas.openxmlformats.org/officeDocument/2006/relationships/hyperlink" Target="http://www.espn.com/nfl/boxscore/_/gameId/401326431" TargetMode="External"/><Relationship Id="rId274" Type="http://schemas.openxmlformats.org/officeDocument/2006/relationships/hyperlink" Target="http://www.espn.com/nfl/boxscore/_/gameId/401326426" TargetMode="External"/><Relationship Id="rId27" Type="http://schemas.openxmlformats.org/officeDocument/2006/relationships/hyperlink" Target="http://www.espn.com/nfl/boxscore/_/gameId/401326510" TargetMode="External"/><Relationship Id="rId69" Type="http://schemas.openxmlformats.org/officeDocument/2006/relationships/hyperlink" Target="http://www.espn.com/nfl/boxscore/_/gameId/401326501" TargetMode="External"/><Relationship Id="rId134" Type="http://schemas.openxmlformats.org/officeDocument/2006/relationships/hyperlink" Target="http://www.espn.com/nfl/boxscore/_/gameId/401326423" TargetMode="External"/><Relationship Id="rId80" Type="http://schemas.openxmlformats.org/officeDocument/2006/relationships/hyperlink" Target="http://www.espn.com/nfl/boxscore/_/gameId/401326464" TargetMode="External"/><Relationship Id="rId176" Type="http://schemas.openxmlformats.org/officeDocument/2006/relationships/hyperlink" Target="http://www.espn.com/nfl/boxscore/_/gameId/401326432" TargetMode="External"/><Relationship Id="rId341" Type="http://schemas.openxmlformats.org/officeDocument/2006/relationships/hyperlink" Target="http://www.espn.com/nfl/boxscore/_/gameId/401326387" TargetMode="External"/><Relationship Id="rId383" Type="http://schemas.openxmlformats.org/officeDocument/2006/relationships/hyperlink" Target="http://www.espn.com/nfl/boxscore/_/gameId/401326390" TargetMode="External"/><Relationship Id="rId439" Type="http://schemas.openxmlformats.org/officeDocument/2006/relationships/hyperlink" Target="http://www.espn.com/nfl/boxscore/_/gameId/401326380" TargetMode="External"/><Relationship Id="rId201" Type="http://schemas.openxmlformats.org/officeDocument/2006/relationships/hyperlink" Target="http://www.espn.com/nfl/boxscore/_/gameId/401326379" TargetMode="External"/><Relationship Id="rId243" Type="http://schemas.openxmlformats.org/officeDocument/2006/relationships/hyperlink" Target="http://www.espn.com/nfl/boxscore/_/gameId/401326389" TargetMode="External"/><Relationship Id="rId285" Type="http://schemas.openxmlformats.org/officeDocument/2006/relationships/hyperlink" Target="http://www.espn.com/nfl/boxscore/_/gameId/401326385" TargetMode="External"/><Relationship Id="rId38" Type="http://schemas.openxmlformats.org/officeDocument/2006/relationships/hyperlink" Target="http://www.espn.com/nfl/boxscore/_/gameId/401326465" TargetMode="External"/><Relationship Id="rId103" Type="http://schemas.openxmlformats.org/officeDocument/2006/relationships/hyperlink" Target="http://www.espn.com/nfl/boxscore/_/gameId/401326385" TargetMode="External"/><Relationship Id="rId310" Type="http://schemas.openxmlformats.org/officeDocument/2006/relationships/hyperlink" Target="http://www.espn.com/nfl/boxscore/_/gameId/401326319" TargetMode="External"/><Relationship Id="rId91" Type="http://schemas.openxmlformats.org/officeDocument/2006/relationships/hyperlink" Target="http://www.espn.com/nfl/boxscore/_/gameId/401326414" TargetMode="External"/><Relationship Id="rId145" Type="http://schemas.openxmlformats.org/officeDocument/2006/relationships/hyperlink" Target="http://www.espn.com/nfl/boxscore/_/gameId/401326382" TargetMode="External"/><Relationship Id="rId187" Type="http://schemas.openxmlformats.org/officeDocument/2006/relationships/hyperlink" Target="http://www.espn.com/nfl/boxscore/_/gameId/401326384" TargetMode="External"/><Relationship Id="rId352" Type="http://schemas.openxmlformats.org/officeDocument/2006/relationships/hyperlink" Target="http://www.espn.com/nfl/boxscore/_/gameId/401326315" TargetMode="External"/><Relationship Id="rId394" Type="http://schemas.openxmlformats.org/officeDocument/2006/relationships/hyperlink" Target="http://www.espn.com/nfl/boxscore/_/gameId/401326318" TargetMode="External"/><Relationship Id="rId408" Type="http://schemas.openxmlformats.org/officeDocument/2006/relationships/hyperlink" Target="http://www.espn.com/nfl/boxscore/_/gameId/401326322" TargetMode="External"/><Relationship Id="rId212" Type="http://schemas.openxmlformats.org/officeDocument/2006/relationships/hyperlink" Target="http://www.espn.com/nfl/boxscore/_/gameId/401326314" TargetMode="External"/><Relationship Id="rId254" Type="http://schemas.openxmlformats.org/officeDocument/2006/relationships/hyperlink" Target="http://www.espn.com/nfl/boxscore/_/gameId/401326312" TargetMode="External"/><Relationship Id="rId49" Type="http://schemas.openxmlformats.org/officeDocument/2006/relationships/hyperlink" Target="http://www.espn.com/nfl/boxscore/_/gameId/401326422" TargetMode="External"/><Relationship Id="rId114" Type="http://schemas.openxmlformats.org/officeDocument/2006/relationships/hyperlink" Target="http://www.espn.com/nfl/boxscore/_/gameId/401326322" TargetMode="External"/><Relationship Id="rId296" Type="http://schemas.openxmlformats.org/officeDocument/2006/relationships/hyperlink" Target="http://www.espn.com/nfl/boxscore/_/gameId/401326313" TargetMode="External"/><Relationship Id="rId60" Type="http://schemas.openxmlformats.org/officeDocument/2006/relationships/hyperlink" Target="http://www.espn.com/nfl/boxscore/_/gameId/401326363" TargetMode="External"/><Relationship Id="rId156" Type="http://schemas.openxmlformats.org/officeDocument/2006/relationships/hyperlink" Target="http://www.espn.com/nfl/boxscore/_/gameId/401326319" TargetMode="External"/><Relationship Id="rId198" Type="http://schemas.openxmlformats.org/officeDocument/2006/relationships/hyperlink" Target="http://www.espn.com/nfl/boxscore/_/gameId/401326310" TargetMode="External"/><Relationship Id="rId321" Type="http://schemas.openxmlformats.org/officeDocument/2006/relationships/hyperlink" Target="http://www.espn.com/nfl/boxscore/_/gameId/401326509" TargetMode="External"/><Relationship Id="rId363" Type="http://schemas.openxmlformats.org/officeDocument/2006/relationships/hyperlink" Target="http://www.espn.com/nfl/boxscore/_/gameId/401326503" TargetMode="External"/><Relationship Id="rId419" Type="http://schemas.openxmlformats.org/officeDocument/2006/relationships/hyperlink" Target="http://www.espn.com/nfl/boxscore/_/gameId/401326510" TargetMode="External"/><Relationship Id="rId223" Type="http://schemas.openxmlformats.org/officeDocument/2006/relationships/hyperlink" Target="http://www.espn.com/nfl/boxscore/_/gameId/401326515" TargetMode="External"/><Relationship Id="rId430" Type="http://schemas.openxmlformats.org/officeDocument/2006/relationships/hyperlink" Target="http://www.espn.com/nfl/boxscore/_/gameId/401326463" TargetMode="External"/><Relationship Id="rId18" Type="http://schemas.openxmlformats.org/officeDocument/2006/relationships/hyperlink" Target="http://www.espn.com/nfl/boxscore/_/gameId/401326370" TargetMode="External"/><Relationship Id="rId39" Type="http://schemas.openxmlformats.org/officeDocument/2006/relationships/hyperlink" Target="http://www.espn.com/nfl/boxscore/_/gameId/401326482" TargetMode="External"/><Relationship Id="rId265" Type="http://schemas.openxmlformats.org/officeDocument/2006/relationships/hyperlink" Target="http://www.espn.com/nfl/boxscore/_/gameId/401326512" TargetMode="External"/><Relationship Id="rId286" Type="http://schemas.openxmlformats.org/officeDocument/2006/relationships/hyperlink" Target="http://www.espn.com/nfl/boxscore/_/gameId/401326400" TargetMode="External"/><Relationship Id="rId50" Type="http://schemas.openxmlformats.org/officeDocument/2006/relationships/hyperlink" Target="http://www.espn.com/nfl/boxscore/_/gameId/401326438" TargetMode="External"/><Relationship Id="rId104" Type="http://schemas.openxmlformats.org/officeDocument/2006/relationships/hyperlink" Target="http://www.espn.com/nfl/boxscore/_/gameId/401326404" TargetMode="External"/><Relationship Id="rId125" Type="http://schemas.openxmlformats.org/officeDocument/2006/relationships/hyperlink" Target="http://www.espn.com/nfl/boxscore/_/gameId/401326509" TargetMode="External"/><Relationship Id="rId146" Type="http://schemas.openxmlformats.org/officeDocument/2006/relationships/hyperlink" Target="http://www.espn.com/nfl/boxscore/_/gameId/401326400" TargetMode="External"/><Relationship Id="rId167" Type="http://schemas.openxmlformats.org/officeDocument/2006/relationships/hyperlink" Target="http://www.espn.com/nfl/boxscore/_/gameId/401326505" TargetMode="External"/><Relationship Id="rId188" Type="http://schemas.openxmlformats.org/officeDocument/2006/relationships/hyperlink" Target="http://www.espn.com/nfl/boxscore/_/gameId/401326409" TargetMode="External"/><Relationship Id="rId311" Type="http://schemas.openxmlformats.org/officeDocument/2006/relationships/hyperlink" Target="http://www.espn.com/nfl/boxscore/_/gameId/401326128" TargetMode="External"/><Relationship Id="rId332" Type="http://schemas.openxmlformats.org/officeDocument/2006/relationships/hyperlink" Target="http://www.espn.com/nfl/boxscore/_/gameId/401326459" TargetMode="External"/><Relationship Id="rId353" Type="http://schemas.openxmlformats.org/officeDocument/2006/relationships/hyperlink" Target="http://www.espn.com/nfl/boxscore/_/gameId/401326355" TargetMode="External"/><Relationship Id="rId374" Type="http://schemas.openxmlformats.org/officeDocument/2006/relationships/hyperlink" Target="http://www.espn.com/nfl/boxscore/_/gameId/401326470" TargetMode="External"/><Relationship Id="rId395" Type="http://schemas.openxmlformats.org/officeDocument/2006/relationships/hyperlink" Target="http://www.espn.com/nfl/boxscore/_/gameId/401326360" TargetMode="External"/><Relationship Id="rId409" Type="http://schemas.openxmlformats.org/officeDocument/2006/relationships/hyperlink" Target="http://www.espn.com/nfl/boxscore/_/gameId/401326358" TargetMode="External"/><Relationship Id="rId71" Type="http://schemas.openxmlformats.org/officeDocument/2006/relationships/hyperlink" Target="http://www.espn.com/nfl/team/_/name/chi/chicago-bears" TargetMode="External"/><Relationship Id="rId92" Type="http://schemas.openxmlformats.org/officeDocument/2006/relationships/hyperlink" Target="http://www.espn.com/nfl/boxscore/_/gameId/401326424" TargetMode="External"/><Relationship Id="rId213" Type="http://schemas.openxmlformats.org/officeDocument/2006/relationships/hyperlink" Target="http://www.espn.com/nfl/boxscore/_/gameId/401326361" TargetMode="External"/><Relationship Id="rId234" Type="http://schemas.openxmlformats.org/officeDocument/2006/relationships/hyperlink" Target="http://www.espn.com/nfl/boxscore/_/gameId/401326477" TargetMode="External"/><Relationship Id="rId420" Type="http://schemas.openxmlformats.org/officeDocument/2006/relationships/hyperlink" Target="http://www.espn.com/nfl/boxscore/_/gameId/401326534" TargetMode="External"/><Relationship Id="rId2" Type="http://schemas.openxmlformats.org/officeDocument/2006/relationships/hyperlink" Target="http://www.espn.com/nfl/boxscore/_/gameId/401326311" TargetMode="External"/><Relationship Id="rId29" Type="http://schemas.openxmlformats.org/officeDocument/2006/relationships/hyperlink" Target="http://www.espn.com/nfl/team/_/name/bal/baltimore-ravens" TargetMode="External"/><Relationship Id="rId255" Type="http://schemas.openxmlformats.org/officeDocument/2006/relationships/hyperlink" Target="http://www.espn.com/nfl/boxscore/_/gameId/401326359" TargetMode="External"/><Relationship Id="rId276" Type="http://schemas.openxmlformats.org/officeDocument/2006/relationships/hyperlink" Target="http://www.espn.com/nfl/boxscore/_/gameId/401326457" TargetMode="External"/><Relationship Id="rId297" Type="http://schemas.openxmlformats.org/officeDocument/2006/relationships/hyperlink" Target="http://www.espn.com/nfl/boxscore/_/gameId/401326354" TargetMode="External"/><Relationship Id="rId441" Type="http://schemas.openxmlformats.org/officeDocument/2006/relationships/hyperlink" Target="http://www.espn.com/nfl/boxscore/_/gameId/401326417" TargetMode="External"/><Relationship Id="rId40" Type="http://schemas.openxmlformats.org/officeDocument/2006/relationships/hyperlink" Target="http://www.espn.com/nfl/boxscore/_/gameId/401326507" TargetMode="External"/><Relationship Id="rId115" Type="http://schemas.openxmlformats.org/officeDocument/2006/relationships/hyperlink" Target="http://www.espn.com/nfl/boxscore/_/gameId/401326359" TargetMode="External"/><Relationship Id="rId136" Type="http://schemas.openxmlformats.org/officeDocument/2006/relationships/hyperlink" Target="http://www.espn.com/nfl/boxscore/_/gameId/401326455" TargetMode="External"/><Relationship Id="rId157" Type="http://schemas.openxmlformats.org/officeDocument/2006/relationships/hyperlink" Target="http://www.espn.com/nfl/boxscore/_/gameId/401326362" TargetMode="External"/><Relationship Id="rId178" Type="http://schemas.openxmlformats.org/officeDocument/2006/relationships/hyperlink" Target="http://www.espn.com/nfl/boxscore/_/gameId/401326457" TargetMode="External"/><Relationship Id="rId301" Type="http://schemas.openxmlformats.org/officeDocument/2006/relationships/hyperlink" Target="http://www.espn.com/nfl/boxscore/_/gameId/401326420" TargetMode="External"/><Relationship Id="rId322" Type="http://schemas.openxmlformats.org/officeDocument/2006/relationships/hyperlink" Target="http://www.espn.com/nfl/boxscore/_/gameId/401326529" TargetMode="External"/><Relationship Id="rId343" Type="http://schemas.openxmlformats.org/officeDocument/2006/relationships/hyperlink" Target="http://www.espn.com/nfl/boxscore/_/gameId/401326427" TargetMode="External"/><Relationship Id="rId364" Type="http://schemas.openxmlformats.org/officeDocument/2006/relationships/hyperlink" Target="http://www.espn.com/nfl/boxscore/_/gameId/401326517" TargetMode="External"/><Relationship Id="rId61" Type="http://schemas.openxmlformats.org/officeDocument/2006/relationships/hyperlink" Target="http://www.espn.com/nfl/boxscore/_/gameId/401326383" TargetMode="External"/><Relationship Id="rId82" Type="http://schemas.openxmlformats.org/officeDocument/2006/relationships/hyperlink" Target="http://www.espn.com/nfl/boxscore/_/gameId/401326494" TargetMode="External"/><Relationship Id="rId199" Type="http://schemas.openxmlformats.org/officeDocument/2006/relationships/hyperlink" Target="http://www.espn.com/nfl/boxscore/_/gameId/401326132" TargetMode="External"/><Relationship Id="rId203" Type="http://schemas.openxmlformats.org/officeDocument/2006/relationships/hyperlink" Target="http://www.espn.com/nfl/boxscore/_/gameId/401326325" TargetMode="External"/><Relationship Id="rId385" Type="http://schemas.openxmlformats.org/officeDocument/2006/relationships/hyperlink" Target="http://www.espn.com/nfl/boxscore/_/gameId/401326434" TargetMode="External"/><Relationship Id="rId19" Type="http://schemas.openxmlformats.org/officeDocument/2006/relationships/hyperlink" Target="http://www.espn.com/nfl/boxscore/_/gameId/401326380" TargetMode="External"/><Relationship Id="rId224" Type="http://schemas.openxmlformats.org/officeDocument/2006/relationships/hyperlink" Target="http://www.espn.com/nfl/boxscore/_/gameId/401326528" TargetMode="External"/><Relationship Id="rId245" Type="http://schemas.openxmlformats.org/officeDocument/2006/relationships/hyperlink" Target="http://www.espn.com/nfl/boxscore/_/gameId/401326416" TargetMode="External"/><Relationship Id="rId266" Type="http://schemas.openxmlformats.org/officeDocument/2006/relationships/hyperlink" Target="http://www.espn.com/nfl/boxscore/_/gameId/401326533" TargetMode="External"/><Relationship Id="rId287" Type="http://schemas.openxmlformats.org/officeDocument/2006/relationships/hyperlink" Target="http://www.espn.com/nfl/boxscore/_/gameId/401326412" TargetMode="External"/><Relationship Id="rId410" Type="http://schemas.openxmlformats.org/officeDocument/2006/relationships/hyperlink" Target="http://www.espn.com/nfl/boxscore/_/gameId/401326375" TargetMode="External"/><Relationship Id="rId431" Type="http://schemas.openxmlformats.org/officeDocument/2006/relationships/hyperlink" Target="http://www.espn.com/nfl/boxscore/_/gameId/401326471" TargetMode="External"/><Relationship Id="rId30" Type="http://schemas.openxmlformats.org/officeDocument/2006/relationships/hyperlink" Target="http://www.espn.com/nfl/boxscore/_/gameId/401326321" TargetMode="External"/><Relationship Id="rId105" Type="http://schemas.openxmlformats.org/officeDocument/2006/relationships/hyperlink" Target="http://www.espn.com/nfl/boxscore/_/gameId/401326418" TargetMode="External"/><Relationship Id="rId126" Type="http://schemas.openxmlformats.org/officeDocument/2006/relationships/hyperlink" Target="http://www.espn.com/nfl/boxscore/_/gameId/401326531" TargetMode="External"/><Relationship Id="rId147" Type="http://schemas.openxmlformats.org/officeDocument/2006/relationships/hyperlink" Target="http://www.espn.com/nfl/boxscore/_/gameId/401326414" TargetMode="External"/><Relationship Id="rId168" Type="http://schemas.openxmlformats.org/officeDocument/2006/relationships/hyperlink" Target="http://www.espn.com/nfl/boxscore/_/gameId/401326535" TargetMode="External"/><Relationship Id="rId312" Type="http://schemas.openxmlformats.org/officeDocument/2006/relationships/hyperlink" Target="http://www.espn.com/nfl/boxscore/_/gameId/401326369" TargetMode="External"/><Relationship Id="rId333" Type="http://schemas.openxmlformats.org/officeDocument/2006/relationships/hyperlink" Target="http://www.espn.com/nfl/boxscore/_/gameId/401326493" TargetMode="External"/><Relationship Id="rId354" Type="http://schemas.openxmlformats.org/officeDocument/2006/relationships/hyperlink" Target="http://www.espn.com/nfl/boxscore/_/gameId/401326378" TargetMode="External"/><Relationship Id="rId51" Type="http://schemas.openxmlformats.org/officeDocument/2006/relationships/hyperlink" Target="http://www.espn.com/nfl/boxscore/_/gameId/401326456" TargetMode="External"/><Relationship Id="rId72" Type="http://schemas.openxmlformats.org/officeDocument/2006/relationships/hyperlink" Target="http://www.espn.com/nfl/boxscore/_/gameId/401326323" TargetMode="External"/><Relationship Id="rId93" Type="http://schemas.openxmlformats.org/officeDocument/2006/relationships/hyperlink" Target="http://www.espn.com/nfl/boxscore/_/gameId/401326444" TargetMode="External"/><Relationship Id="rId189" Type="http://schemas.openxmlformats.org/officeDocument/2006/relationships/hyperlink" Target="http://www.espn.com/nfl/boxscore/_/gameId/401326415" TargetMode="External"/><Relationship Id="rId375" Type="http://schemas.openxmlformats.org/officeDocument/2006/relationships/hyperlink" Target="http://www.espn.com/nfl/boxscore/_/gameId/401326492" TargetMode="External"/><Relationship Id="rId396" Type="http://schemas.openxmlformats.org/officeDocument/2006/relationships/hyperlink" Target="http://www.espn.com/nfl/boxscore/_/gameId/401326376" TargetMode="External"/><Relationship Id="rId3" Type="http://schemas.openxmlformats.org/officeDocument/2006/relationships/hyperlink" Target="http://www.espn.com/nfl/boxscore/_/gameId/401326357" TargetMode="External"/><Relationship Id="rId214" Type="http://schemas.openxmlformats.org/officeDocument/2006/relationships/hyperlink" Target="http://www.espn.com/nfl/boxscore/_/gameId/401326368" TargetMode="External"/><Relationship Id="rId235" Type="http://schemas.openxmlformats.org/officeDocument/2006/relationships/hyperlink" Target="http://www.espn.com/nfl/boxscore/_/gameId/401326489" TargetMode="External"/><Relationship Id="rId256" Type="http://schemas.openxmlformats.org/officeDocument/2006/relationships/hyperlink" Target="http://www.espn.com/nfl/boxscore/_/gameId/401326368" TargetMode="External"/><Relationship Id="rId277" Type="http://schemas.openxmlformats.org/officeDocument/2006/relationships/hyperlink" Target="http://www.espn.com/nfl/boxscore/_/gameId/401326465" TargetMode="External"/><Relationship Id="rId298" Type="http://schemas.openxmlformats.org/officeDocument/2006/relationships/hyperlink" Target="http://www.espn.com/nfl/boxscore/_/gameId/401326369" TargetMode="External"/><Relationship Id="rId400" Type="http://schemas.openxmlformats.org/officeDocument/2006/relationships/hyperlink" Target="http://www.espn.com/nfl/boxscore/_/gameId/401326435" TargetMode="External"/><Relationship Id="rId421" Type="http://schemas.openxmlformats.org/officeDocument/2006/relationships/hyperlink" Target="http://www.espn.com/nfl/team/_/name/ten/tennessee-titans" TargetMode="External"/><Relationship Id="rId442" Type="http://schemas.openxmlformats.org/officeDocument/2006/relationships/hyperlink" Target="http://www.espn.com/nfl/boxscore/_/gameId/401326425" TargetMode="External"/><Relationship Id="rId116" Type="http://schemas.openxmlformats.org/officeDocument/2006/relationships/hyperlink" Target="http://www.espn.com/nfl/boxscore/_/gameId/401326378" TargetMode="External"/><Relationship Id="rId137" Type="http://schemas.openxmlformats.org/officeDocument/2006/relationships/hyperlink" Target="http://www.espn.com/nfl/boxscore/_/gameId/401326475" TargetMode="External"/><Relationship Id="rId158" Type="http://schemas.openxmlformats.org/officeDocument/2006/relationships/hyperlink" Target="http://www.espn.com/nfl/boxscore/_/gameId/401326377" TargetMode="External"/><Relationship Id="rId302" Type="http://schemas.openxmlformats.org/officeDocument/2006/relationships/hyperlink" Target="http://www.espn.com/nfl/boxscore/_/gameId/401326427" TargetMode="External"/><Relationship Id="rId323" Type="http://schemas.openxmlformats.org/officeDocument/2006/relationships/hyperlink" Target="http://www.espn.com/nfl/team/_/name/nyg/new-york-giants" TargetMode="External"/><Relationship Id="rId344" Type="http://schemas.openxmlformats.org/officeDocument/2006/relationships/hyperlink" Target="http://www.espn.com/nfl/boxscore/_/gameId/401326444" TargetMode="External"/><Relationship Id="rId20" Type="http://schemas.openxmlformats.org/officeDocument/2006/relationships/hyperlink" Target="http://www.espn.com/nfl/boxscore/_/gameId/401326324" TargetMode="External"/><Relationship Id="rId41" Type="http://schemas.openxmlformats.org/officeDocument/2006/relationships/hyperlink" Target="http://www.espn.com/nfl/boxscore/_/gameId/401326520" TargetMode="External"/><Relationship Id="rId62" Type="http://schemas.openxmlformats.org/officeDocument/2006/relationships/hyperlink" Target="http://www.espn.com/nfl/boxscore/_/gameId/401326396" TargetMode="External"/><Relationship Id="rId83" Type="http://schemas.openxmlformats.org/officeDocument/2006/relationships/hyperlink" Target="http://www.espn.com/nfl/boxscore/_/gameId/401326511" TargetMode="External"/><Relationship Id="rId179" Type="http://schemas.openxmlformats.org/officeDocument/2006/relationships/hyperlink" Target="http://www.espn.com/nfl/boxscore/_/gameId/401326488" TargetMode="External"/><Relationship Id="rId365" Type="http://schemas.openxmlformats.org/officeDocument/2006/relationships/hyperlink" Target="http://www.espn.com/nfl/team/_/name/pit/pittsburgh-steelers" TargetMode="External"/><Relationship Id="rId386" Type="http://schemas.openxmlformats.org/officeDocument/2006/relationships/hyperlink" Target="http://www.espn.com/nfl/boxscore/_/gameId/401326439" TargetMode="External"/><Relationship Id="rId190" Type="http://schemas.openxmlformats.org/officeDocument/2006/relationships/hyperlink" Target="http://www.espn.com/nfl/boxscore/_/gameId/401326434" TargetMode="External"/><Relationship Id="rId204" Type="http://schemas.openxmlformats.org/officeDocument/2006/relationships/hyperlink" Target="http://www.espn.com/nfl/boxscore/_/gameId/401326446" TargetMode="External"/><Relationship Id="rId225" Type="http://schemas.openxmlformats.org/officeDocument/2006/relationships/hyperlink" Target="http://www.espn.com/nfl/team/_/name/lv/las-vegas-raiders" TargetMode="External"/><Relationship Id="rId246" Type="http://schemas.openxmlformats.org/officeDocument/2006/relationships/hyperlink" Target="http://www.espn.com/nfl/boxscore/_/gameId/401326430" TargetMode="External"/><Relationship Id="rId267" Type="http://schemas.openxmlformats.org/officeDocument/2006/relationships/hyperlink" Target="http://www.espn.com/nfl/team/_/name/mia/miami-dolphins" TargetMode="External"/><Relationship Id="rId288" Type="http://schemas.openxmlformats.org/officeDocument/2006/relationships/hyperlink" Target="http://www.espn.com/nfl/boxscore/_/gameId/401326449" TargetMode="External"/><Relationship Id="rId411" Type="http://schemas.openxmlformats.org/officeDocument/2006/relationships/hyperlink" Target="http://www.espn.com/nfl/boxscore/_/gameId/401326393" TargetMode="External"/><Relationship Id="rId432" Type="http://schemas.openxmlformats.org/officeDocument/2006/relationships/hyperlink" Target="http://www.espn.com/nfl/boxscore/_/gameId/401326488" TargetMode="External"/><Relationship Id="rId106" Type="http://schemas.openxmlformats.org/officeDocument/2006/relationships/hyperlink" Target="http://www.espn.com/nfl/boxscore/_/gameId/401326423" TargetMode="External"/><Relationship Id="rId127" Type="http://schemas.openxmlformats.org/officeDocument/2006/relationships/hyperlink" Target="http://www.espn.com/nfl/team/_/name/den/denver-broncos" TargetMode="External"/><Relationship Id="rId313" Type="http://schemas.openxmlformats.org/officeDocument/2006/relationships/hyperlink" Target="http://www.espn.com/nfl/boxscore/_/gameId/401326386" TargetMode="External"/><Relationship Id="rId10" Type="http://schemas.openxmlformats.org/officeDocument/2006/relationships/hyperlink" Target="http://www.espn.com/nfl/boxscore/_/gameId/401326462" TargetMode="External"/><Relationship Id="rId31" Type="http://schemas.openxmlformats.org/officeDocument/2006/relationships/hyperlink" Target="http://www.espn.com/nfl/boxscore/_/gameId/401326361" TargetMode="External"/><Relationship Id="rId52" Type="http://schemas.openxmlformats.org/officeDocument/2006/relationships/hyperlink" Target="http://www.espn.com/nfl/boxscore/_/gameId/401326469" TargetMode="External"/><Relationship Id="rId73" Type="http://schemas.openxmlformats.org/officeDocument/2006/relationships/hyperlink" Target="http://www.espn.com/nfl/boxscore/_/gameId/401326129" TargetMode="External"/><Relationship Id="rId94" Type="http://schemas.openxmlformats.org/officeDocument/2006/relationships/hyperlink" Target="http://www.espn.com/nfl/boxscore/_/gameId/401326454" TargetMode="External"/><Relationship Id="rId148" Type="http://schemas.openxmlformats.org/officeDocument/2006/relationships/hyperlink" Target="http://www.espn.com/nfl/boxscore/_/gameId/401326430" TargetMode="External"/><Relationship Id="rId169" Type="http://schemas.openxmlformats.org/officeDocument/2006/relationships/hyperlink" Target="http://www.espn.com/nfl/team/_/name/hou/houston-texans" TargetMode="External"/><Relationship Id="rId334" Type="http://schemas.openxmlformats.org/officeDocument/2006/relationships/hyperlink" Target="http://www.espn.com/nfl/boxscore/_/gameId/401326503" TargetMode="External"/><Relationship Id="rId355" Type="http://schemas.openxmlformats.org/officeDocument/2006/relationships/hyperlink" Target="http://www.espn.com/nfl/boxscore/_/gameId/401326388" TargetMode="External"/><Relationship Id="rId376" Type="http://schemas.openxmlformats.org/officeDocument/2006/relationships/hyperlink" Target="http://www.espn.com/nfl/boxscore/_/gameId/401326497" TargetMode="External"/><Relationship Id="rId397" Type="http://schemas.openxmlformats.org/officeDocument/2006/relationships/hyperlink" Target="http://www.espn.com/nfl/boxscore/_/gameId/401326390" TargetMode="External"/><Relationship Id="rId4" Type="http://schemas.openxmlformats.org/officeDocument/2006/relationships/hyperlink" Target="http://www.espn.com/nfl/boxscore/_/gameId/401326367" TargetMode="External"/><Relationship Id="rId180" Type="http://schemas.openxmlformats.org/officeDocument/2006/relationships/hyperlink" Target="http://www.espn.com/nfl/boxscore/_/gameId/401326498" TargetMode="External"/><Relationship Id="rId215" Type="http://schemas.openxmlformats.org/officeDocument/2006/relationships/hyperlink" Target="http://www.espn.com/nfl/boxscore/_/gameId/401326388" TargetMode="External"/><Relationship Id="rId236" Type="http://schemas.openxmlformats.org/officeDocument/2006/relationships/hyperlink" Target="http://www.espn.com/nfl/boxscore/_/gameId/401326495" TargetMode="External"/><Relationship Id="rId257" Type="http://schemas.openxmlformats.org/officeDocument/2006/relationships/hyperlink" Target="http://www.espn.com/nfl/boxscore/_/gameId/401326394" TargetMode="External"/><Relationship Id="rId278" Type="http://schemas.openxmlformats.org/officeDocument/2006/relationships/hyperlink" Target="http://www.espn.com/nfl/boxscore/_/gameId/401326486" TargetMode="External"/><Relationship Id="rId401" Type="http://schemas.openxmlformats.org/officeDocument/2006/relationships/hyperlink" Target="http://www.espn.com/nfl/boxscore/_/gameId/401326446" TargetMode="External"/><Relationship Id="rId422" Type="http://schemas.openxmlformats.org/officeDocument/2006/relationships/hyperlink" Target="http://www.espn.com/nfl/boxscore/_/gameId/401326311" TargetMode="External"/><Relationship Id="rId443" Type="http://schemas.openxmlformats.org/officeDocument/2006/relationships/hyperlink" Target="http://www.espn.com/nfl/boxscore/_/gameId/401326447" TargetMode="External"/><Relationship Id="rId303" Type="http://schemas.openxmlformats.org/officeDocument/2006/relationships/hyperlink" Target="http://www.espn.com/nfl/boxscore/_/gameId/401326445" TargetMode="External"/><Relationship Id="rId42" Type="http://schemas.openxmlformats.org/officeDocument/2006/relationships/hyperlink" Target="http://www.espn.com/nfl/boxscore/_/gameId/401326526" TargetMode="External"/><Relationship Id="rId84" Type="http://schemas.openxmlformats.org/officeDocument/2006/relationships/hyperlink" Target="http://www.espn.com/nfl/boxscore/_/gameId/401326535" TargetMode="External"/><Relationship Id="rId138" Type="http://schemas.openxmlformats.org/officeDocument/2006/relationships/hyperlink" Target="http://www.espn.com/nfl/boxscore/_/gameId/401326504" TargetMode="External"/><Relationship Id="rId345" Type="http://schemas.openxmlformats.org/officeDocument/2006/relationships/hyperlink" Target="http://www.espn.com/nfl/boxscore/_/gameId/401326451" TargetMode="External"/><Relationship Id="rId387" Type="http://schemas.openxmlformats.org/officeDocument/2006/relationships/hyperlink" Target="http://www.espn.com/nfl/boxscore/_/gameId/401326462" TargetMode="External"/><Relationship Id="rId191" Type="http://schemas.openxmlformats.org/officeDocument/2006/relationships/hyperlink" Target="http://www.espn.com/nfl/boxscore/_/gameId/401326443" TargetMode="External"/><Relationship Id="rId205" Type="http://schemas.openxmlformats.org/officeDocument/2006/relationships/hyperlink" Target="http://www.espn.com/nfl/boxscore/_/gameId/401326456" TargetMode="External"/><Relationship Id="rId247" Type="http://schemas.openxmlformats.org/officeDocument/2006/relationships/hyperlink" Target="http://www.espn.com/nfl/boxscore/_/gameId/401326442" TargetMode="External"/><Relationship Id="rId412" Type="http://schemas.openxmlformats.org/officeDocument/2006/relationships/hyperlink" Target="http://www.espn.com/nfl/boxscore/_/gameId/401326402" TargetMode="External"/><Relationship Id="rId107" Type="http://schemas.openxmlformats.org/officeDocument/2006/relationships/hyperlink" Target="http://www.espn.com/nfl/boxscore/_/gameId/401326440" TargetMode="External"/><Relationship Id="rId289" Type="http://schemas.openxmlformats.org/officeDocument/2006/relationships/hyperlink" Target="http://www.espn.com/nfl/boxscore/_/gameId/401326452" TargetMode="External"/><Relationship Id="rId11" Type="http://schemas.openxmlformats.org/officeDocument/2006/relationships/hyperlink" Target="http://www.espn.com/nfl/boxscore/_/gameId/401326473" TargetMode="External"/><Relationship Id="rId53" Type="http://schemas.openxmlformats.org/officeDocument/2006/relationships/hyperlink" Target="http://www.espn.com/nfl/boxscore/_/gameId/401326480" TargetMode="External"/><Relationship Id="rId149" Type="http://schemas.openxmlformats.org/officeDocument/2006/relationships/hyperlink" Target="http://www.espn.com/nfl/boxscore/_/gameId/401326441" TargetMode="External"/><Relationship Id="rId314" Type="http://schemas.openxmlformats.org/officeDocument/2006/relationships/hyperlink" Target="http://www.espn.com/nfl/boxscore/_/gameId/401326403" TargetMode="External"/><Relationship Id="rId356" Type="http://schemas.openxmlformats.org/officeDocument/2006/relationships/hyperlink" Target="http://www.espn.com/nfl/boxscore/_/gameId/401326396" TargetMode="External"/><Relationship Id="rId398" Type="http://schemas.openxmlformats.org/officeDocument/2006/relationships/hyperlink" Target="http://www.espn.com/nfl/boxscore/_/gameId/401326395" TargetMode="External"/><Relationship Id="rId95" Type="http://schemas.openxmlformats.org/officeDocument/2006/relationships/hyperlink" Target="http://www.espn.com/nfl/boxscore/_/gameId/401326489" TargetMode="External"/><Relationship Id="rId160" Type="http://schemas.openxmlformats.org/officeDocument/2006/relationships/hyperlink" Target="http://www.espn.com/nfl/boxscore/_/gameId/401326397" TargetMode="External"/><Relationship Id="rId216" Type="http://schemas.openxmlformats.org/officeDocument/2006/relationships/hyperlink" Target="http://www.espn.com/nfl/boxscore/_/gameId/401326408" TargetMode="External"/><Relationship Id="rId423" Type="http://schemas.openxmlformats.org/officeDocument/2006/relationships/hyperlink" Target="http://www.espn.com/nfl/boxscore/_/gameId/401326360" TargetMode="External"/><Relationship Id="rId258" Type="http://schemas.openxmlformats.org/officeDocument/2006/relationships/hyperlink" Target="http://www.espn.com/nfl/boxscore/_/gameId/401326404" TargetMode="External"/><Relationship Id="rId22" Type="http://schemas.openxmlformats.org/officeDocument/2006/relationships/hyperlink" Target="http://www.espn.com/nfl/boxscore/_/gameId/401326437" TargetMode="External"/><Relationship Id="rId64" Type="http://schemas.openxmlformats.org/officeDocument/2006/relationships/hyperlink" Target="http://www.espn.com/nfl/boxscore/_/gameId/401326428" TargetMode="External"/><Relationship Id="rId118" Type="http://schemas.openxmlformats.org/officeDocument/2006/relationships/hyperlink" Target="http://www.espn.com/nfl/boxscore/_/gameId/401326407" TargetMode="External"/><Relationship Id="rId325" Type="http://schemas.openxmlformats.org/officeDocument/2006/relationships/hyperlink" Target="http://www.espn.com/nfl/boxscore/_/gameId/401326127" TargetMode="External"/><Relationship Id="rId367" Type="http://schemas.openxmlformats.org/officeDocument/2006/relationships/hyperlink" Target="http://www.espn.com/nfl/boxscore/_/gameId/401326356" TargetMode="External"/><Relationship Id="rId171" Type="http://schemas.openxmlformats.org/officeDocument/2006/relationships/hyperlink" Target="http://www.espn.com/nfl/boxscore/_/gameId/401326130" TargetMode="External"/><Relationship Id="rId227" Type="http://schemas.openxmlformats.org/officeDocument/2006/relationships/hyperlink" Target="http://www.espn.com/nfl/boxscore/_/gameId/401326356" TargetMode="External"/><Relationship Id="rId269" Type="http://schemas.openxmlformats.org/officeDocument/2006/relationships/hyperlink" Target="http://www.espn.com/nfl/boxscore/_/gameId/401326353" TargetMode="External"/><Relationship Id="rId434" Type="http://schemas.openxmlformats.org/officeDocument/2006/relationships/hyperlink" Target="http://www.espn.com/nfl/boxscore/_/gameId/401326530" TargetMode="External"/><Relationship Id="rId33" Type="http://schemas.openxmlformats.org/officeDocument/2006/relationships/hyperlink" Target="http://www.espn.com/nfl/boxscore/_/gameId/401326391" TargetMode="External"/><Relationship Id="rId129" Type="http://schemas.openxmlformats.org/officeDocument/2006/relationships/hyperlink" Target="http://www.espn.com/nfl/boxscore/_/gameId/401326132" TargetMode="External"/><Relationship Id="rId280" Type="http://schemas.openxmlformats.org/officeDocument/2006/relationships/hyperlink" Target="http://www.espn.com/nfl/boxscore/_/gameId/401326516" TargetMode="External"/><Relationship Id="rId336" Type="http://schemas.openxmlformats.org/officeDocument/2006/relationships/hyperlink" Target="http://www.espn.com/nfl/boxscore/_/gameId/401326533" TargetMode="External"/><Relationship Id="rId75" Type="http://schemas.openxmlformats.org/officeDocument/2006/relationships/hyperlink" Target="http://www.espn.com/nfl/boxscore/_/gameId/401326382" TargetMode="External"/><Relationship Id="rId140" Type="http://schemas.openxmlformats.org/officeDocument/2006/relationships/hyperlink" Target="http://www.espn.com/nfl/boxscore/_/gameId/401326532" TargetMode="External"/><Relationship Id="rId182" Type="http://schemas.openxmlformats.org/officeDocument/2006/relationships/hyperlink" Target="http://www.espn.com/nfl/boxscore/_/gameId/401326527" TargetMode="External"/><Relationship Id="rId378" Type="http://schemas.openxmlformats.org/officeDocument/2006/relationships/hyperlink" Target="http://www.espn.com/nfl/boxscore/_/gameId/401326523" TargetMode="External"/><Relationship Id="rId403" Type="http://schemas.openxmlformats.org/officeDocument/2006/relationships/hyperlink" Target="http://www.espn.com/nfl/boxscore/_/gameId/401326491" TargetMode="External"/><Relationship Id="rId6" Type="http://schemas.openxmlformats.org/officeDocument/2006/relationships/hyperlink" Target="http://www.espn.com/nfl/boxscore/_/gameId/401326406" TargetMode="External"/><Relationship Id="rId238" Type="http://schemas.openxmlformats.org/officeDocument/2006/relationships/hyperlink" Target="http://www.espn.com/nfl/boxscore/_/gameId/401326528" TargetMode="External"/><Relationship Id="rId445" Type="http://schemas.openxmlformats.org/officeDocument/2006/relationships/hyperlink" Target="http://www.espn.com/nfl/boxscore/_/gameId/401326481" TargetMode="External"/><Relationship Id="rId291" Type="http://schemas.openxmlformats.org/officeDocument/2006/relationships/hyperlink" Target="http://www.espn.com/nfl/boxscore/_/gameId/401326485" TargetMode="External"/><Relationship Id="rId305" Type="http://schemas.openxmlformats.org/officeDocument/2006/relationships/hyperlink" Target="http://www.espn.com/nfl/boxscore/_/gameId/401326468" TargetMode="External"/><Relationship Id="rId347" Type="http://schemas.openxmlformats.org/officeDocument/2006/relationships/hyperlink" Target="http://www.espn.com/nfl/boxscore/_/gameId/401326486" TargetMode="External"/><Relationship Id="rId44" Type="http://schemas.openxmlformats.org/officeDocument/2006/relationships/hyperlink" Target="http://www.espn.com/nfl/boxscore/_/gameId/401326308" TargetMode="External"/><Relationship Id="rId86" Type="http://schemas.openxmlformats.org/officeDocument/2006/relationships/hyperlink" Target="http://www.espn.com/nfl/boxscore/_/gameId/401326316" TargetMode="External"/><Relationship Id="rId151" Type="http://schemas.openxmlformats.org/officeDocument/2006/relationships/hyperlink" Target="http://www.espn.com/nfl/boxscore/_/gameId/401326483" TargetMode="External"/><Relationship Id="rId389" Type="http://schemas.openxmlformats.org/officeDocument/2006/relationships/hyperlink" Target="http://www.espn.com/nfl/boxscore/_/gameId/401326484" TargetMode="External"/><Relationship Id="rId193" Type="http://schemas.openxmlformats.org/officeDocument/2006/relationships/hyperlink" Target="http://www.espn.com/nfl/boxscore/_/gameId/401326467" TargetMode="External"/><Relationship Id="rId207" Type="http://schemas.openxmlformats.org/officeDocument/2006/relationships/hyperlink" Target="http://www.espn.com/nfl/boxscore/_/gameId/401326484" TargetMode="External"/><Relationship Id="rId249" Type="http://schemas.openxmlformats.org/officeDocument/2006/relationships/hyperlink" Target="http://www.espn.com/nfl/boxscore/_/gameId/401326478" TargetMode="External"/><Relationship Id="rId414" Type="http://schemas.openxmlformats.org/officeDocument/2006/relationships/hyperlink" Target="http://www.espn.com/nfl/boxscore/_/gameId/401326433" TargetMode="External"/><Relationship Id="rId13" Type="http://schemas.openxmlformats.org/officeDocument/2006/relationships/hyperlink" Target="http://www.espn.com/nfl/boxscore/_/gameId/401326511" TargetMode="External"/><Relationship Id="rId109" Type="http://schemas.openxmlformats.org/officeDocument/2006/relationships/hyperlink" Target="http://www.espn.com/nfl/boxscore/_/gameId/401326468" TargetMode="External"/><Relationship Id="rId260" Type="http://schemas.openxmlformats.org/officeDocument/2006/relationships/hyperlink" Target="http://www.espn.com/nfl/boxscore/_/gameId/401326445" TargetMode="External"/><Relationship Id="rId316" Type="http://schemas.openxmlformats.org/officeDocument/2006/relationships/hyperlink" Target="http://www.espn.com/nfl/boxscore/_/gameId/401326448" TargetMode="External"/><Relationship Id="rId55" Type="http://schemas.openxmlformats.org/officeDocument/2006/relationships/hyperlink" Target="http://www.espn.com/nfl/boxscore/_/gameId/401326522" TargetMode="External"/><Relationship Id="rId97" Type="http://schemas.openxmlformats.org/officeDocument/2006/relationships/hyperlink" Target="http://www.espn.com/nfl/boxscore/_/gameId/401326512" TargetMode="External"/><Relationship Id="rId120" Type="http://schemas.openxmlformats.org/officeDocument/2006/relationships/hyperlink" Target="http://www.espn.com/nfl/boxscore/_/gameId/401326449" TargetMode="External"/><Relationship Id="rId358" Type="http://schemas.openxmlformats.org/officeDocument/2006/relationships/hyperlink" Target="http://www.espn.com/nfl/boxscore/_/gameId/401326431" TargetMode="External"/><Relationship Id="rId162" Type="http://schemas.openxmlformats.org/officeDocument/2006/relationships/hyperlink" Target="http://www.espn.com/nfl/boxscore/_/gameId/401326425" TargetMode="External"/><Relationship Id="rId218" Type="http://schemas.openxmlformats.org/officeDocument/2006/relationships/hyperlink" Target="http://www.espn.com/nfl/boxscore/_/gameId/401326429" TargetMode="External"/><Relationship Id="rId425" Type="http://schemas.openxmlformats.org/officeDocument/2006/relationships/hyperlink" Target="http://www.espn.com/nfl/boxscore/_/gameId/401326387" TargetMode="External"/><Relationship Id="rId271" Type="http://schemas.openxmlformats.org/officeDocument/2006/relationships/hyperlink" Target="http://www.espn.com/nfl/boxscore/_/gameId/401326384" TargetMode="External"/><Relationship Id="rId24" Type="http://schemas.openxmlformats.org/officeDocument/2006/relationships/hyperlink" Target="http://www.espn.com/nfl/boxscore/_/gameId/401326466" TargetMode="External"/><Relationship Id="rId66" Type="http://schemas.openxmlformats.org/officeDocument/2006/relationships/hyperlink" Target="http://www.espn.com/nfl/boxscore/_/gameId/401326453" TargetMode="External"/><Relationship Id="rId131" Type="http://schemas.openxmlformats.org/officeDocument/2006/relationships/hyperlink" Target="http://www.espn.com/nfl/boxscore/_/gameId/401326391" TargetMode="External"/><Relationship Id="rId327" Type="http://schemas.openxmlformats.org/officeDocument/2006/relationships/hyperlink" Target="http://www.espn.com/nfl/boxscore/_/gameId/401326386" TargetMode="External"/><Relationship Id="rId369" Type="http://schemas.openxmlformats.org/officeDocument/2006/relationships/hyperlink" Target="http://www.espn.com/nfl/boxscore/_/gameId/401326392" TargetMode="External"/><Relationship Id="rId173" Type="http://schemas.openxmlformats.org/officeDocument/2006/relationships/hyperlink" Target="http://www.espn.com/nfl/boxscore/_/gameId/401326381" TargetMode="External"/><Relationship Id="rId229" Type="http://schemas.openxmlformats.org/officeDocument/2006/relationships/hyperlink" Target="http://www.espn.com/nfl/boxscore/_/gameId/401326394" TargetMode="External"/><Relationship Id="rId380" Type="http://schemas.openxmlformats.org/officeDocument/2006/relationships/hyperlink" Target="http://www.espn.com/nfl/boxscore/_/gameId/401326317" TargetMode="External"/><Relationship Id="rId436" Type="http://schemas.openxmlformats.org/officeDocument/2006/relationships/hyperlink" Target="http://www.espn.com/nfl/boxscore/_/gameId/401326312" TargetMode="External"/><Relationship Id="rId240" Type="http://schemas.openxmlformats.org/officeDocument/2006/relationships/hyperlink" Target="http://www.espn.com/nfl/boxscore/_/gameId/401326323" TargetMode="External"/><Relationship Id="rId35" Type="http://schemas.openxmlformats.org/officeDocument/2006/relationships/hyperlink" Target="http://www.espn.com/nfl/boxscore/_/gameId/401326411" TargetMode="External"/><Relationship Id="rId77" Type="http://schemas.openxmlformats.org/officeDocument/2006/relationships/hyperlink" Target="http://www.espn.com/nfl/boxscore/_/gameId/401326413" TargetMode="External"/><Relationship Id="rId100" Type="http://schemas.openxmlformats.org/officeDocument/2006/relationships/hyperlink" Target="http://www.espn.com/nfl/boxscore/_/gameId/401326314" TargetMode="External"/><Relationship Id="rId282" Type="http://schemas.openxmlformats.org/officeDocument/2006/relationships/hyperlink" Target="http://www.espn.com/nfl/boxscore/_/gameId/401326316" TargetMode="External"/><Relationship Id="rId338" Type="http://schemas.openxmlformats.org/officeDocument/2006/relationships/hyperlink" Target="http://www.espn.com/nfl/boxscore/_/gameId/401326309" TargetMode="External"/><Relationship Id="rId8" Type="http://schemas.openxmlformats.org/officeDocument/2006/relationships/hyperlink" Target="http://www.espn.com/nfl/boxscore/_/gameId/401326432" TargetMode="External"/><Relationship Id="rId142" Type="http://schemas.openxmlformats.org/officeDocument/2006/relationships/hyperlink" Target="http://www.espn.com/nfl/boxscore/_/gameId/401326317" TargetMode="External"/><Relationship Id="rId184" Type="http://schemas.openxmlformats.org/officeDocument/2006/relationships/hyperlink" Target="http://www.espn.com/nfl/boxscore/_/gameId/401326318" TargetMode="External"/><Relationship Id="rId391" Type="http://schemas.openxmlformats.org/officeDocument/2006/relationships/hyperlink" Target="http://www.espn.com/nfl/boxscore/_/gameId/401326521" TargetMode="External"/><Relationship Id="rId405" Type="http://schemas.openxmlformats.org/officeDocument/2006/relationships/hyperlink" Target="http://www.espn.com/nfl/boxscore/_/gameId/401326521" TargetMode="External"/><Relationship Id="rId447" Type="http://schemas.openxmlformats.org/officeDocument/2006/relationships/hyperlink" Target="http://www.espn.com/nfl/boxscore/_/gameId/401326518" TargetMode="External"/><Relationship Id="rId251" Type="http://schemas.openxmlformats.org/officeDocument/2006/relationships/hyperlink" Target="http://www.espn.com/nfl/boxscore/_/gameId/401326519" TargetMode="External"/><Relationship Id="rId46" Type="http://schemas.openxmlformats.org/officeDocument/2006/relationships/hyperlink" Target="http://www.espn.com/nfl/boxscore/_/gameId/401326364" TargetMode="External"/><Relationship Id="rId293" Type="http://schemas.openxmlformats.org/officeDocument/2006/relationships/hyperlink" Target="http://www.espn.com/nfl/boxscore/_/gameId/401326513" TargetMode="External"/><Relationship Id="rId307" Type="http://schemas.openxmlformats.org/officeDocument/2006/relationships/hyperlink" Target="http://www.espn.com/nfl/boxscore/_/gameId/401326502" TargetMode="External"/><Relationship Id="rId349" Type="http://schemas.openxmlformats.org/officeDocument/2006/relationships/hyperlink" Target="http://www.espn.com/nfl/boxscore/_/gameId/401326517" TargetMode="External"/><Relationship Id="rId88" Type="http://schemas.openxmlformats.org/officeDocument/2006/relationships/hyperlink" Target="http://www.espn.com/nfl/boxscore/_/gameId/401326371" TargetMode="External"/><Relationship Id="rId111" Type="http://schemas.openxmlformats.org/officeDocument/2006/relationships/hyperlink" Target="http://www.espn.com/nfl/boxscore/_/gameId/401326507" TargetMode="External"/><Relationship Id="rId153" Type="http://schemas.openxmlformats.org/officeDocument/2006/relationships/hyperlink" Target="http://www.espn.com/nfl/boxscore/_/gameId/401326513" TargetMode="External"/><Relationship Id="rId195" Type="http://schemas.openxmlformats.org/officeDocument/2006/relationships/hyperlink" Target="http://www.espn.com/nfl/boxscore/_/gameId/401326499" TargetMode="External"/><Relationship Id="rId209" Type="http://schemas.openxmlformats.org/officeDocument/2006/relationships/hyperlink" Target="http://www.espn.com/nfl/boxscore/_/gameId/401326519" TargetMode="External"/><Relationship Id="rId360" Type="http://schemas.openxmlformats.org/officeDocument/2006/relationships/hyperlink" Target="http://www.espn.com/nfl/boxscore/_/gameId/401326460" TargetMode="External"/><Relationship Id="rId416" Type="http://schemas.openxmlformats.org/officeDocument/2006/relationships/hyperlink" Target="http://www.espn.com/nfl/boxscore/_/gameId/401326472" TargetMode="External"/><Relationship Id="rId220" Type="http://schemas.openxmlformats.org/officeDocument/2006/relationships/hyperlink" Target="http://www.espn.com/nfl/boxscore/_/gameId/401326461" TargetMode="External"/><Relationship Id="rId15" Type="http://schemas.openxmlformats.org/officeDocument/2006/relationships/hyperlink" Target="http://www.espn.com/nfl/team/_/name/atl/atlanta-falcons" TargetMode="External"/><Relationship Id="rId57" Type="http://schemas.openxmlformats.org/officeDocument/2006/relationships/hyperlink" Target="http://www.espn.com/nfl/team/_/name/car/carolina-panthers" TargetMode="External"/><Relationship Id="rId262" Type="http://schemas.openxmlformats.org/officeDocument/2006/relationships/hyperlink" Target="http://www.espn.com/nfl/boxscore/_/gameId/401326474" TargetMode="External"/><Relationship Id="rId318" Type="http://schemas.openxmlformats.org/officeDocument/2006/relationships/hyperlink" Target="http://www.espn.com/nfl/boxscore/_/gameId/401326471" TargetMode="External"/><Relationship Id="rId99" Type="http://schemas.openxmlformats.org/officeDocument/2006/relationships/hyperlink" Target="http://www.espn.com/nfl/team/_/name/cle/cleveland-browns" TargetMode="External"/><Relationship Id="rId122" Type="http://schemas.openxmlformats.org/officeDocument/2006/relationships/hyperlink" Target="http://www.espn.com/nfl/boxscore/_/gameId/401326466" TargetMode="External"/><Relationship Id="rId164" Type="http://schemas.openxmlformats.org/officeDocument/2006/relationships/hyperlink" Target="http://www.espn.com/nfl/boxscore/_/gameId/401326461" TargetMode="External"/><Relationship Id="rId371" Type="http://schemas.openxmlformats.org/officeDocument/2006/relationships/hyperlink" Target="http://www.espn.com/nfl/boxscore/_/gameId/401326421" TargetMode="External"/><Relationship Id="rId427" Type="http://schemas.openxmlformats.org/officeDocument/2006/relationships/hyperlink" Target="http://www.espn.com/nfl/boxscore/_/gameId/401326422" TargetMode="External"/><Relationship Id="rId26" Type="http://schemas.openxmlformats.org/officeDocument/2006/relationships/hyperlink" Target="http://www.espn.com/nfl/boxscore/_/gameId/401326500" TargetMode="External"/><Relationship Id="rId231" Type="http://schemas.openxmlformats.org/officeDocument/2006/relationships/hyperlink" Target="http://www.espn.com/nfl/boxscore/_/gameId/401326419" TargetMode="External"/><Relationship Id="rId273" Type="http://schemas.openxmlformats.org/officeDocument/2006/relationships/hyperlink" Target="http://www.espn.com/nfl/boxscore/_/gameId/401326325" TargetMode="External"/><Relationship Id="rId329" Type="http://schemas.openxmlformats.org/officeDocument/2006/relationships/hyperlink" Target="http://www.espn.com/nfl/boxscore/_/gameId/401326416" TargetMode="External"/><Relationship Id="rId68" Type="http://schemas.openxmlformats.org/officeDocument/2006/relationships/hyperlink" Target="http://www.espn.com/nfl/boxscore/_/gameId/401326481" TargetMode="External"/><Relationship Id="rId133" Type="http://schemas.openxmlformats.org/officeDocument/2006/relationships/hyperlink" Target="http://www.espn.com/nfl/boxscore/_/gameId/401326419" TargetMode="External"/><Relationship Id="rId175" Type="http://schemas.openxmlformats.org/officeDocument/2006/relationships/hyperlink" Target="http://www.espn.com/nfl/boxscore/_/gameId/401326415" TargetMode="External"/><Relationship Id="rId340" Type="http://schemas.openxmlformats.org/officeDocument/2006/relationships/hyperlink" Target="http://www.espn.com/nfl/boxscore/_/gameId/401326373" TargetMode="External"/><Relationship Id="rId200" Type="http://schemas.openxmlformats.org/officeDocument/2006/relationships/hyperlink" Target="http://www.espn.com/nfl/boxscore/_/gameId/401326367" TargetMode="External"/><Relationship Id="rId382" Type="http://schemas.openxmlformats.org/officeDocument/2006/relationships/hyperlink" Target="http://www.espn.com/nfl/boxscore/_/gameId/401326377" TargetMode="External"/><Relationship Id="rId438" Type="http://schemas.openxmlformats.org/officeDocument/2006/relationships/hyperlink" Target="http://www.espn.com/nfl/boxscore/_/gameId/401326364" TargetMode="External"/><Relationship Id="rId242" Type="http://schemas.openxmlformats.org/officeDocument/2006/relationships/hyperlink" Target="http://www.espn.com/nfl/boxscore/_/gameId/401326375" TargetMode="External"/><Relationship Id="rId284" Type="http://schemas.openxmlformats.org/officeDocument/2006/relationships/hyperlink" Target="http://www.espn.com/nfl/boxscore/_/gameId/401326376" TargetMode="External"/><Relationship Id="rId37" Type="http://schemas.openxmlformats.org/officeDocument/2006/relationships/hyperlink" Target="http://www.espn.com/nfl/boxscore/_/gameId/401326452" TargetMode="External"/><Relationship Id="rId79" Type="http://schemas.openxmlformats.org/officeDocument/2006/relationships/hyperlink" Target="http://www.espn.com/nfl/boxscore/_/gameId/401326439" TargetMode="External"/><Relationship Id="rId102" Type="http://schemas.openxmlformats.org/officeDocument/2006/relationships/hyperlink" Target="http://www.espn.com/nfl/boxscore/_/gameId/401326365" TargetMode="External"/><Relationship Id="rId144" Type="http://schemas.openxmlformats.org/officeDocument/2006/relationships/hyperlink" Target="http://www.espn.com/nfl/boxscore/_/gameId/401326366" TargetMode="External"/><Relationship Id="rId90" Type="http://schemas.openxmlformats.org/officeDocument/2006/relationships/hyperlink" Target="http://www.espn.com/nfl/boxscore/_/gameId/401326397" TargetMode="External"/><Relationship Id="rId186" Type="http://schemas.openxmlformats.org/officeDocument/2006/relationships/hyperlink" Target="http://www.espn.com/nfl/boxscore/_/gameId/401326372" TargetMode="External"/><Relationship Id="rId351" Type="http://schemas.openxmlformats.org/officeDocument/2006/relationships/hyperlink" Target="http://www.espn.com/nfl/team/_/name/phi/philadelphia-eagles" TargetMode="External"/><Relationship Id="rId393" Type="http://schemas.openxmlformats.org/officeDocument/2006/relationships/hyperlink" Target="http://www.espn.com/nfl/team/_/name/sea/seattle-seahawks" TargetMode="External"/><Relationship Id="rId407" Type="http://schemas.openxmlformats.org/officeDocument/2006/relationships/hyperlink" Target="http://www.espn.com/nfl/team/_/name/tb/tampa-bay-buccaneers" TargetMode="External"/><Relationship Id="rId211" Type="http://schemas.openxmlformats.org/officeDocument/2006/relationships/hyperlink" Target="http://www.espn.com/nfl/team/_/name/kc/kansas-city-chiefs" TargetMode="External"/><Relationship Id="rId253" Type="http://schemas.openxmlformats.org/officeDocument/2006/relationships/hyperlink" Target="http://www.espn.com/nfl/team/_/name/lac/los-angeles-chargers" TargetMode="External"/><Relationship Id="rId295" Type="http://schemas.openxmlformats.org/officeDocument/2006/relationships/hyperlink" Target="http://www.espn.com/nfl/team/_/name/ne/new-england-patriots" TargetMode="External"/><Relationship Id="rId309" Type="http://schemas.openxmlformats.org/officeDocument/2006/relationships/hyperlink" Target="http://www.espn.com/nfl/team/_/name/no/new-orleans-saints" TargetMode="External"/><Relationship Id="rId48" Type="http://schemas.openxmlformats.org/officeDocument/2006/relationships/hyperlink" Target="http://www.espn.com/nfl/boxscore/_/gameId/401326408" TargetMode="External"/><Relationship Id="rId113" Type="http://schemas.openxmlformats.org/officeDocument/2006/relationships/hyperlink" Target="http://www.espn.com/nfl/team/_/name/dal/dallas-cowboys" TargetMode="External"/><Relationship Id="rId320" Type="http://schemas.openxmlformats.org/officeDocument/2006/relationships/hyperlink" Target="http://www.espn.com/nfl/boxscore/_/gameId/401326496" TargetMode="External"/><Relationship Id="rId155" Type="http://schemas.openxmlformats.org/officeDocument/2006/relationships/hyperlink" Target="http://www.espn.com/nfl/team/_/name/gb/green-bay-packers" TargetMode="External"/><Relationship Id="rId197" Type="http://schemas.openxmlformats.org/officeDocument/2006/relationships/hyperlink" Target="http://www.espn.com/nfl/team/_/name/jax/jacksonville-jaguars" TargetMode="External"/><Relationship Id="rId362" Type="http://schemas.openxmlformats.org/officeDocument/2006/relationships/hyperlink" Target="http://www.espn.com/nfl/boxscore/_/gameId/401326487" TargetMode="External"/><Relationship Id="rId418" Type="http://schemas.openxmlformats.org/officeDocument/2006/relationships/hyperlink" Target="http://www.espn.com/nfl/boxscore/_/gameId/401326499" TargetMode="External"/><Relationship Id="rId222" Type="http://schemas.openxmlformats.org/officeDocument/2006/relationships/hyperlink" Target="http://www.espn.com/nfl/boxscore/_/gameId/401326490" TargetMode="External"/><Relationship Id="rId264" Type="http://schemas.openxmlformats.org/officeDocument/2006/relationships/hyperlink" Target="http://www.espn.com/nfl/boxscore/_/gameId/401326504" TargetMode="External"/><Relationship Id="rId17" Type="http://schemas.openxmlformats.org/officeDocument/2006/relationships/hyperlink" Target="http://www.espn.com/nfl/boxscore/_/gameId/401326358" TargetMode="External"/><Relationship Id="rId59" Type="http://schemas.openxmlformats.org/officeDocument/2006/relationships/hyperlink" Target="http://www.espn.com/nfl/boxscore/_/gameId/401326128" TargetMode="External"/><Relationship Id="rId124" Type="http://schemas.openxmlformats.org/officeDocument/2006/relationships/hyperlink" Target="http://www.espn.com/nfl/boxscore/_/gameId/401326495" TargetMode="External"/><Relationship Id="rId70" Type="http://schemas.openxmlformats.org/officeDocument/2006/relationships/hyperlink" Target="http://www.espn.com/nfl/boxscore/_/gameId/401326524" TargetMode="External"/><Relationship Id="rId166" Type="http://schemas.openxmlformats.org/officeDocument/2006/relationships/hyperlink" Target="http://www.espn.com/nfl/boxscore/_/gameId/401326485" TargetMode="External"/><Relationship Id="rId331" Type="http://schemas.openxmlformats.org/officeDocument/2006/relationships/hyperlink" Target="http://www.espn.com/nfl/boxscore/_/gameId/401326450" TargetMode="External"/><Relationship Id="rId373" Type="http://schemas.openxmlformats.org/officeDocument/2006/relationships/hyperlink" Target="http://www.espn.com/nfl/boxscore/_/gameId/401326464" TargetMode="External"/><Relationship Id="rId429" Type="http://schemas.openxmlformats.org/officeDocument/2006/relationships/hyperlink" Target="http://www.espn.com/nfl/boxscore/_/gameId/401326443" TargetMode="External"/><Relationship Id="rId1" Type="http://schemas.openxmlformats.org/officeDocument/2006/relationships/hyperlink" Target="http://www.espn.com/nfl/team/_/name/ari/arizona-cardinals" TargetMode="External"/><Relationship Id="rId233" Type="http://schemas.openxmlformats.org/officeDocument/2006/relationships/hyperlink" Target="http://www.espn.com/nfl/boxscore/_/gameId/401326459" TargetMode="External"/><Relationship Id="rId440" Type="http://schemas.openxmlformats.org/officeDocument/2006/relationships/hyperlink" Target="http://www.espn.com/nfl/boxscore/_/gameId/401326403" TargetMode="External"/><Relationship Id="rId28" Type="http://schemas.openxmlformats.org/officeDocument/2006/relationships/hyperlink" Target="http://www.espn.com/nfl/boxscore/_/gameId/401326524" TargetMode="External"/><Relationship Id="rId275" Type="http://schemas.openxmlformats.org/officeDocument/2006/relationships/hyperlink" Target="http://www.espn.com/nfl/boxscore/_/gameId/401326438" TargetMode="External"/><Relationship Id="rId300" Type="http://schemas.openxmlformats.org/officeDocument/2006/relationships/hyperlink" Target="http://www.espn.com/nfl/boxscore/_/gameId/401326398" TargetMode="External"/><Relationship Id="rId81" Type="http://schemas.openxmlformats.org/officeDocument/2006/relationships/hyperlink" Target="http://www.espn.com/nfl/boxscore/_/gameId/401326482" TargetMode="External"/><Relationship Id="rId135" Type="http://schemas.openxmlformats.org/officeDocument/2006/relationships/hyperlink" Target="http://www.espn.com/nfl/boxscore/_/gameId/401326447" TargetMode="External"/><Relationship Id="rId177" Type="http://schemas.openxmlformats.org/officeDocument/2006/relationships/hyperlink" Target="http://www.espn.com/nfl/boxscore/_/gameId/401326442" TargetMode="External"/><Relationship Id="rId342" Type="http://schemas.openxmlformats.org/officeDocument/2006/relationships/hyperlink" Target="http://www.espn.com/nfl/boxscore/_/gameId/401326324" TargetMode="External"/><Relationship Id="rId384" Type="http://schemas.openxmlformats.org/officeDocument/2006/relationships/hyperlink" Target="http://www.espn.com/nfl/boxscore/_/gameId/401326406" TargetMode="External"/><Relationship Id="rId202" Type="http://schemas.openxmlformats.org/officeDocument/2006/relationships/hyperlink" Target="http://www.espn.com/nfl/boxscore/_/gameId/401326399" TargetMode="External"/><Relationship Id="rId244" Type="http://schemas.openxmlformats.org/officeDocument/2006/relationships/hyperlink" Target="http://www.espn.com/nfl/boxscore/_/gameId/401326395" TargetMode="Externa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espn.com/nfl/boxscore/_/gameId/401326383" TargetMode="External"/><Relationship Id="rId299" Type="http://schemas.openxmlformats.org/officeDocument/2006/relationships/hyperlink" Target="http://www.espn.com/nfl/boxscore/_/gameId/401326393" TargetMode="External"/><Relationship Id="rId21" Type="http://schemas.openxmlformats.org/officeDocument/2006/relationships/hyperlink" Target="http://www.espn.com/nfl/boxscore/_/gameId/401326426" TargetMode="External"/><Relationship Id="rId63" Type="http://schemas.openxmlformats.org/officeDocument/2006/relationships/hyperlink" Target="http://www.espn.com/nfl/boxscore/_/gameId/401326412" TargetMode="External"/><Relationship Id="rId159" Type="http://schemas.openxmlformats.org/officeDocument/2006/relationships/hyperlink" Target="http://www.espn.com/nfl/boxscore/_/gameId/401326392" TargetMode="External"/><Relationship Id="rId324" Type="http://schemas.openxmlformats.org/officeDocument/2006/relationships/hyperlink" Target="http://www.espn.com/nfl/boxscore/_/gameId/401326320" TargetMode="External"/><Relationship Id="rId366" Type="http://schemas.openxmlformats.org/officeDocument/2006/relationships/hyperlink" Target="http://www.espn.com/nfl/boxscore/_/gameId/401326308" TargetMode="External"/><Relationship Id="rId170" Type="http://schemas.openxmlformats.org/officeDocument/2006/relationships/hyperlink" Target="http://www.espn.com/nfl/boxscore/_/gameId/401326310" TargetMode="External"/><Relationship Id="rId226" Type="http://schemas.openxmlformats.org/officeDocument/2006/relationships/hyperlink" Target="http://www.espn.com/nfl/boxscore/_/gameId/401326321" TargetMode="External"/><Relationship Id="rId433" Type="http://schemas.openxmlformats.org/officeDocument/2006/relationships/hyperlink" Target="http://www.espn.com/nfl/boxscore/_/gameId/401326502" TargetMode="External"/><Relationship Id="rId268" Type="http://schemas.openxmlformats.org/officeDocument/2006/relationships/hyperlink" Target="http://www.espn.com/nfl/boxscore/_/gameId/401326313" TargetMode="External"/><Relationship Id="rId32" Type="http://schemas.openxmlformats.org/officeDocument/2006/relationships/hyperlink" Target="http://www.espn.com/nfl/boxscore/_/gameId/401326366" TargetMode="External"/><Relationship Id="rId74" Type="http://schemas.openxmlformats.org/officeDocument/2006/relationships/hyperlink" Target="http://www.espn.com/nfl/boxscore/_/gameId/401326365" TargetMode="External"/><Relationship Id="rId128" Type="http://schemas.openxmlformats.org/officeDocument/2006/relationships/hyperlink" Target="http://www.espn.com/nfl/boxscore/_/gameId/401326320" TargetMode="External"/><Relationship Id="rId335" Type="http://schemas.openxmlformats.org/officeDocument/2006/relationships/hyperlink" Target="http://www.espn.com/nfl/boxscore/_/gameId/401326516" TargetMode="External"/><Relationship Id="rId377" Type="http://schemas.openxmlformats.org/officeDocument/2006/relationships/hyperlink" Target="http://www.espn.com/nfl/boxscore/_/gameId/401326520" TargetMode="External"/><Relationship Id="rId5" Type="http://schemas.openxmlformats.org/officeDocument/2006/relationships/hyperlink" Target="http://www.espn.com/nfl/boxscore/_/gameId/401326389" TargetMode="External"/><Relationship Id="rId181" Type="http://schemas.openxmlformats.org/officeDocument/2006/relationships/hyperlink" Target="http://www.espn.com/nfl/boxscore/_/gameId/401326514" TargetMode="External"/><Relationship Id="rId237" Type="http://schemas.openxmlformats.org/officeDocument/2006/relationships/hyperlink" Target="http://www.espn.com/nfl/boxscore/_/gameId/401326518" TargetMode="External"/><Relationship Id="rId402" Type="http://schemas.openxmlformats.org/officeDocument/2006/relationships/hyperlink" Target="http://www.espn.com/nfl/boxscore/_/gameId/401326476" TargetMode="External"/><Relationship Id="rId279" Type="http://schemas.openxmlformats.org/officeDocument/2006/relationships/hyperlink" Target="http://www.espn.com/nfl/boxscore/_/gameId/401326501" TargetMode="External"/><Relationship Id="rId444" Type="http://schemas.openxmlformats.org/officeDocument/2006/relationships/hyperlink" Target="http://www.espn.com/nfl/boxscore/_/gameId/401326472" TargetMode="External"/><Relationship Id="rId43" Type="http://schemas.openxmlformats.org/officeDocument/2006/relationships/hyperlink" Target="http://www.espn.com/nfl/team/_/name/buf/buffalo-bills" TargetMode="External"/><Relationship Id="rId139" Type="http://schemas.openxmlformats.org/officeDocument/2006/relationships/hyperlink" Target="http://www.espn.com/nfl/boxscore/_/gameId/401326515" TargetMode="External"/><Relationship Id="rId290" Type="http://schemas.openxmlformats.org/officeDocument/2006/relationships/hyperlink" Target="http://www.espn.com/nfl/boxscore/_/gameId/401326474" TargetMode="External"/><Relationship Id="rId304" Type="http://schemas.openxmlformats.org/officeDocument/2006/relationships/hyperlink" Target="http://www.espn.com/nfl/boxscore/_/gameId/401326453" TargetMode="External"/><Relationship Id="rId346" Type="http://schemas.openxmlformats.org/officeDocument/2006/relationships/hyperlink" Target="http://www.espn.com/nfl/boxscore/_/gameId/401326469" TargetMode="External"/><Relationship Id="rId388" Type="http://schemas.openxmlformats.org/officeDocument/2006/relationships/hyperlink" Target="http://www.espn.com/nfl/boxscore/_/gameId/401326478" TargetMode="External"/><Relationship Id="rId85" Type="http://schemas.openxmlformats.org/officeDocument/2006/relationships/hyperlink" Target="http://www.espn.com/nfl/team/_/name/cin/cincinnati-bengals" TargetMode="External"/><Relationship Id="rId150" Type="http://schemas.openxmlformats.org/officeDocument/2006/relationships/hyperlink" Target="http://www.espn.com/nfl/boxscore/_/gameId/401326470" TargetMode="External"/><Relationship Id="rId192" Type="http://schemas.openxmlformats.org/officeDocument/2006/relationships/hyperlink" Target="http://www.espn.com/nfl/boxscore/_/gameId/401326451" TargetMode="External"/><Relationship Id="rId206" Type="http://schemas.openxmlformats.org/officeDocument/2006/relationships/hyperlink" Target="http://www.espn.com/nfl/boxscore/_/gameId/401326467" TargetMode="External"/><Relationship Id="rId413" Type="http://schemas.openxmlformats.org/officeDocument/2006/relationships/hyperlink" Target="http://www.espn.com/nfl/boxscore/_/gameId/401326410" TargetMode="External"/><Relationship Id="rId248" Type="http://schemas.openxmlformats.org/officeDocument/2006/relationships/hyperlink" Target="http://www.espn.com/nfl/boxscore/_/gameId/401326463" TargetMode="External"/><Relationship Id="rId12" Type="http://schemas.openxmlformats.org/officeDocument/2006/relationships/hyperlink" Target="http://www.espn.com/nfl/boxscore/_/gameId/401326491" TargetMode="External"/><Relationship Id="rId108" Type="http://schemas.openxmlformats.org/officeDocument/2006/relationships/hyperlink" Target="http://www.espn.com/nfl/boxscore/_/gameId/401326454" TargetMode="External"/><Relationship Id="rId315" Type="http://schemas.openxmlformats.org/officeDocument/2006/relationships/hyperlink" Target="http://www.espn.com/nfl/boxscore/_/gameId/401326435" TargetMode="External"/><Relationship Id="rId357" Type="http://schemas.openxmlformats.org/officeDocument/2006/relationships/hyperlink" Target="http://www.espn.com/nfl/boxscore/_/gameId/401326410" TargetMode="External"/><Relationship Id="rId54" Type="http://schemas.openxmlformats.org/officeDocument/2006/relationships/hyperlink" Target="http://www.espn.com/nfl/boxscore/_/gameId/401326496" TargetMode="External"/><Relationship Id="rId96" Type="http://schemas.openxmlformats.org/officeDocument/2006/relationships/hyperlink" Target="http://www.espn.com/nfl/boxscore/_/gameId/401326497" TargetMode="External"/><Relationship Id="rId161" Type="http://schemas.openxmlformats.org/officeDocument/2006/relationships/hyperlink" Target="http://www.espn.com/nfl/boxscore/_/gameId/401326413" TargetMode="External"/><Relationship Id="rId217" Type="http://schemas.openxmlformats.org/officeDocument/2006/relationships/hyperlink" Target="http://www.espn.com/nfl/boxscore/_/gameId/401326417" TargetMode="External"/><Relationship Id="rId399" Type="http://schemas.openxmlformats.org/officeDocument/2006/relationships/hyperlink" Target="http://www.espn.com/nfl/boxscore/_/gameId/401326421" TargetMode="External"/><Relationship Id="rId259" Type="http://schemas.openxmlformats.org/officeDocument/2006/relationships/hyperlink" Target="http://www.espn.com/nfl/boxscore/_/gameId/401326411" TargetMode="External"/><Relationship Id="rId424" Type="http://schemas.openxmlformats.org/officeDocument/2006/relationships/hyperlink" Target="http://www.espn.com/nfl/boxscore/_/gameId/401326372" TargetMode="External"/><Relationship Id="rId23" Type="http://schemas.openxmlformats.org/officeDocument/2006/relationships/hyperlink" Target="http://www.espn.com/nfl/boxscore/_/gameId/401326458" TargetMode="External"/><Relationship Id="rId119" Type="http://schemas.openxmlformats.org/officeDocument/2006/relationships/hyperlink" Target="http://www.espn.com/nfl/boxscore/_/gameId/401326420" TargetMode="External"/><Relationship Id="rId270" Type="http://schemas.openxmlformats.org/officeDocument/2006/relationships/hyperlink" Target="http://www.espn.com/nfl/boxscore/_/gameId/401326374" TargetMode="External"/><Relationship Id="rId326" Type="http://schemas.openxmlformats.org/officeDocument/2006/relationships/hyperlink" Target="http://www.espn.com/nfl/boxscore/_/gameId/401326370" TargetMode="External"/><Relationship Id="rId65" Type="http://schemas.openxmlformats.org/officeDocument/2006/relationships/hyperlink" Target="http://www.espn.com/nfl/boxscore/_/gameId/401326437" TargetMode="External"/><Relationship Id="rId130" Type="http://schemas.openxmlformats.org/officeDocument/2006/relationships/hyperlink" Target="http://www.espn.com/nfl/boxscore/_/gameId/401326373" TargetMode="External"/><Relationship Id="rId368" Type="http://schemas.openxmlformats.org/officeDocument/2006/relationships/hyperlink" Target="http://www.espn.com/nfl/boxscore/_/gameId/401326371" TargetMode="External"/><Relationship Id="rId172" Type="http://schemas.openxmlformats.org/officeDocument/2006/relationships/hyperlink" Target="http://www.espn.com/nfl/boxscore/_/gameId/401326363" TargetMode="External"/><Relationship Id="rId228" Type="http://schemas.openxmlformats.org/officeDocument/2006/relationships/hyperlink" Target="http://www.espn.com/nfl/boxscore/_/gameId/401326374" TargetMode="External"/><Relationship Id="rId435" Type="http://schemas.openxmlformats.org/officeDocument/2006/relationships/hyperlink" Target="http://www.espn.com/nfl/team/_/name/wsh/washington-null" TargetMode="External"/><Relationship Id="rId281" Type="http://schemas.openxmlformats.org/officeDocument/2006/relationships/hyperlink" Target="http://www.espn.com/nfl/team/_/name/min/minnesota-vikings" TargetMode="External"/><Relationship Id="rId337" Type="http://schemas.openxmlformats.org/officeDocument/2006/relationships/hyperlink" Target="http://www.espn.com/nfl/team/_/name/nyj/new-york-jets" TargetMode="External"/><Relationship Id="rId34" Type="http://schemas.openxmlformats.org/officeDocument/2006/relationships/hyperlink" Target="http://www.espn.com/nfl/boxscore/_/gameId/401326409" TargetMode="External"/><Relationship Id="rId76" Type="http://schemas.openxmlformats.org/officeDocument/2006/relationships/hyperlink" Target="http://www.espn.com/nfl/boxscore/_/gameId/401326405" TargetMode="External"/><Relationship Id="rId141" Type="http://schemas.openxmlformats.org/officeDocument/2006/relationships/hyperlink" Target="http://www.espn.com/nfl/team/_/name/det/detroit-lions" TargetMode="External"/><Relationship Id="rId379" Type="http://schemas.openxmlformats.org/officeDocument/2006/relationships/hyperlink" Target="http://www.espn.com/nfl/team/_/name/sf/san-francisco-49ers" TargetMode="External"/><Relationship Id="rId7" Type="http://schemas.openxmlformats.org/officeDocument/2006/relationships/hyperlink" Target="http://www.espn.com/nfl/boxscore/_/gameId/401326418" TargetMode="External"/><Relationship Id="rId183" Type="http://schemas.openxmlformats.org/officeDocument/2006/relationships/hyperlink" Target="http://www.espn.com/nfl/team/_/name/ind/indianapolis-colts" TargetMode="External"/><Relationship Id="rId239" Type="http://schemas.openxmlformats.org/officeDocument/2006/relationships/hyperlink" Target="http://www.espn.com/nfl/team/_/name/lar/los-angeles-rams" TargetMode="External"/><Relationship Id="rId390" Type="http://schemas.openxmlformats.org/officeDocument/2006/relationships/hyperlink" Target="http://www.espn.com/nfl/boxscore/_/gameId/401326506" TargetMode="External"/><Relationship Id="rId404" Type="http://schemas.openxmlformats.org/officeDocument/2006/relationships/hyperlink" Target="http://www.espn.com/nfl/boxscore/_/gameId/401326508" TargetMode="External"/><Relationship Id="rId446" Type="http://schemas.openxmlformats.org/officeDocument/2006/relationships/hyperlink" Target="http://www.espn.com/nfl/boxscore/_/gameId/401326508" TargetMode="External"/><Relationship Id="rId250" Type="http://schemas.openxmlformats.org/officeDocument/2006/relationships/hyperlink" Target="http://www.espn.com/nfl/boxscore/_/gameId/401326505" TargetMode="External"/><Relationship Id="rId292" Type="http://schemas.openxmlformats.org/officeDocument/2006/relationships/hyperlink" Target="http://www.espn.com/nfl/boxscore/_/gameId/401326506" TargetMode="External"/><Relationship Id="rId306" Type="http://schemas.openxmlformats.org/officeDocument/2006/relationships/hyperlink" Target="http://www.espn.com/nfl/boxscore/_/gameId/401326479" TargetMode="External"/><Relationship Id="rId45" Type="http://schemas.openxmlformats.org/officeDocument/2006/relationships/hyperlink" Target="http://www.espn.com/nfl/boxscore/_/gameId/401326353" TargetMode="External"/><Relationship Id="rId87" Type="http://schemas.openxmlformats.org/officeDocument/2006/relationships/hyperlink" Target="http://www.espn.com/nfl/boxscore/_/gameId/401326129" TargetMode="External"/><Relationship Id="rId110" Type="http://schemas.openxmlformats.org/officeDocument/2006/relationships/hyperlink" Target="http://www.espn.com/nfl/boxscore/_/gameId/401326483" TargetMode="External"/><Relationship Id="rId348" Type="http://schemas.openxmlformats.org/officeDocument/2006/relationships/hyperlink" Target="http://www.espn.com/nfl/boxscore/_/gameId/401326498" TargetMode="External"/><Relationship Id="rId152" Type="http://schemas.openxmlformats.org/officeDocument/2006/relationships/hyperlink" Target="http://www.espn.com/nfl/boxscore/_/gameId/401326494" TargetMode="External"/><Relationship Id="rId194" Type="http://schemas.openxmlformats.org/officeDocument/2006/relationships/hyperlink" Target="http://www.espn.com/nfl/boxscore/_/gameId/401326480" TargetMode="External"/><Relationship Id="rId208" Type="http://schemas.openxmlformats.org/officeDocument/2006/relationships/hyperlink" Target="http://www.espn.com/nfl/boxscore/_/gameId/401326500" TargetMode="External"/><Relationship Id="rId415" Type="http://schemas.openxmlformats.org/officeDocument/2006/relationships/hyperlink" Target="http://www.espn.com/nfl/boxscore/_/gameId/401326448" TargetMode="External"/><Relationship Id="rId261" Type="http://schemas.openxmlformats.org/officeDocument/2006/relationships/hyperlink" Target="http://www.espn.com/nfl/boxscore/_/gameId/401326460" TargetMode="External"/><Relationship Id="rId14" Type="http://schemas.openxmlformats.org/officeDocument/2006/relationships/hyperlink" Target="http://www.espn.com/nfl/boxscore/_/gameId/401326536" TargetMode="External"/><Relationship Id="rId56" Type="http://schemas.openxmlformats.org/officeDocument/2006/relationships/hyperlink" Target="http://www.espn.com/nfl/boxscore/_/gameId/401326534" TargetMode="External"/><Relationship Id="rId317" Type="http://schemas.openxmlformats.org/officeDocument/2006/relationships/hyperlink" Target="http://www.espn.com/nfl/boxscore/_/gameId/401326458" TargetMode="External"/><Relationship Id="rId359" Type="http://schemas.openxmlformats.org/officeDocument/2006/relationships/hyperlink" Target="http://www.espn.com/nfl/boxscore/_/gameId/401326441" TargetMode="External"/><Relationship Id="rId98" Type="http://schemas.openxmlformats.org/officeDocument/2006/relationships/hyperlink" Target="http://www.espn.com/nfl/boxscore/_/gameId/401326525" TargetMode="External"/><Relationship Id="rId121" Type="http://schemas.openxmlformats.org/officeDocument/2006/relationships/hyperlink" Target="http://www.espn.com/nfl/boxscore/_/gameId/401326455" TargetMode="External"/><Relationship Id="rId163" Type="http://schemas.openxmlformats.org/officeDocument/2006/relationships/hyperlink" Target="http://www.espn.com/nfl/boxscore/_/gameId/401326436" TargetMode="External"/><Relationship Id="rId219" Type="http://schemas.openxmlformats.org/officeDocument/2006/relationships/hyperlink" Target="http://www.espn.com/nfl/boxscore/_/gameId/401326450" TargetMode="External"/><Relationship Id="rId370" Type="http://schemas.openxmlformats.org/officeDocument/2006/relationships/hyperlink" Target="http://www.espn.com/nfl/boxscore/_/gameId/401326401" TargetMode="External"/><Relationship Id="rId426" Type="http://schemas.openxmlformats.org/officeDocument/2006/relationships/hyperlink" Target="http://www.espn.com/nfl/boxscore/_/gameId/401326399" TargetMode="External"/><Relationship Id="rId230" Type="http://schemas.openxmlformats.org/officeDocument/2006/relationships/hyperlink" Target="http://www.espn.com/nfl/boxscore/_/gameId/401326405" TargetMode="External"/><Relationship Id="rId25" Type="http://schemas.openxmlformats.org/officeDocument/2006/relationships/hyperlink" Target="http://www.espn.com/nfl/boxscore/_/gameId/401326479" TargetMode="External"/><Relationship Id="rId67" Type="http://schemas.openxmlformats.org/officeDocument/2006/relationships/hyperlink" Target="http://www.espn.com/nfl/boxscore/_/gameId/401326473" TargetMode="External"/><Relationship Id="rId272" Type="http://schemas.openxmlformats.org/officeDocument/2006/relationships/hyperlink" Target="http://www.espn.com/nfl/boxscore/_/gameId/401326402" TargetMode="External"/><Relationship Id="rId328" Type="http://schemas.openxmlformats.org/officeDocument/2006/relationships/hyperlink" Target="http://www.espn.com/nfl/boxscore/_/gameId/401326407" TargetMode="External"/><Relationship Id="rId132" Type="http://schemas.openxmlformats.org/officeDocument/2006/relationships/hyperlink" Target="http://www.espn.com/nfl/boxscore/_/gameId/401326401" TargetMode="External"/><Relationship Id="rId174" Type="http://schemas.openxmlformats.org/officeDocument/2006/relationships/hyperlink" Target="http://www.espn.com/nfl/boxscore/_/gameId/401326398" TargetMode="External"/><Relationship Id="rId381" Type="http://schemas.openxmlformats.org/officeDocument/2006/relationships/hyperlink" Target="http://www.espn.com/nfl/boxscore/_/gameId/401326355" TargetMode="External"/><Relationship Id="rId241" Type="http://schemas.openxmlformats.org/officeDocument/2006/relationships/hyperlink" Target="http://www.espn.com/nfl/boxscore/_/gameId/401326131" TargetMode="External"/><Relationship Id="rId437" Type="http://schemas.openxmlformats.org/officeDocument/2006/relationships/hyperlink" Target="http://www.espn.com/nfl/boxscore/_/gameId/401326127" TargetMode="External"/><Relationship Id="rId36" Type="http://schemas.openxmlformats.org/officeDocument/2006/relationships/hyperlink" Target="http://www.espn.com/nfl/boxscore/_/gameId/401326424" TargetMode="External"/><Relationship Id="rId283" Type="http://schemas.openxmlformats.org/officeDocument/2006/relationships/hyperlink" Target="http://www.espn.com/nfl/boxscore/_/gameId/401326357" TargetMode="External"/><Relationship Id="rId339" Type="http://schemas.openxmlformats.org/officeDocument/2006/relationships/hyperlink" Target="http://www.espn.com/nfl/boxscore/_/gameId/401326354" TargetMode="External"/><Relationship Id="rId78" Type="http://schemas.openxmlformats.org/officeDocument/2006/relationships/hyperlink" Target="http://www.espn.com/nfl/boxscore/_/gameId/401326433" TargetMode="External"/><Relationship Id="rId101" Type="http://schemas.openxmlformats.org/officeDocument/2006/relationships/hyperlink" Target="http://www.espn.com/nfl/boxscore/_/gameId/401326130" TargetMode="External"/><Relationship Id="rId143" Type="http://schemas.openxmlformats.org/officeDocument/2006/relationships/hyperlink" Target="http://www.espn.com/nfl/boxscore/_/gameId/401326362" TargetMode="External"/><Relationship Id="rId185" Type="http://schemas.openxmlformats.org/officeDocument/2006/relationships/hyperlink" Target="http://www.espn.com/nfl/boxscore/_/gameId/401326131" TargetMode="External"/><Relationship Id="rId350" Type="http://schemas.openxmlformats.org/officeDocument/2006/relationships/hyperlink" Target="http://www.espn.com/nfl/boxscore/_/gameId/401326529" TargetMode="External"/><Relationship Id="rId406" Type="http://schemas.openxmlformats.org/officeDocument/2006/relationships/hyperlink" Target="http://www.espn.com/nfl/boxscore/_/gameId/401326527" TargetMode="External"/><Relationship Id="rId9" Type="http://schemas.openxmlformats.org/officeDocument/2006/relationships/hyperlink" Target="http://www.espn.com/nfl/boxscore/_/gameId/401326436" TargetMode="External"/><Relationship Id="rId210" Type="http://schemas.openxmlformats.org/officeDocument/2006/relationships/hyperlink" Target="http://www.espn.com/nfl/boxscore/_/gameId/401326530" TargetMode="External"/><Relationship Id="rId392" Type="http://schemas.openxmlformats.org/officeDocument/2006/relationships/hyperlink" Target="http://www.espn.com/nfl/boxscore/_/gameId/401326525" TargetMode="External"/><Relationship Id="rId448" Type="http://schemas.openxmlformats.org/officeDocument/2006/relationships/hyperlink" Target="http://www.espn.com/nfl/boxscore/_/gameId/401326531" TargetMode="External"/><Relationship Id="rId252" Type="http://schemas.openxmlformats.org/officeDocument/2006/relationships/hyperlink" Target="http://www.espn.com/nfl/boxscore/_/gameId/401326536" TargetMode="External"/><Relationship Id="rId294" Type="http://schemas.openxmlformats.org/officeDocument/2006/relationships/hyperlink" Target="http://www.espn.com/nfl/boxscore/_/gameId/401326523" TargetMode="External"/><Relationship Id="rId308" Type="http://schemas.openxmlformats.org/officeDocument/2006/relationships/hyperlink" Target="http://www.espn.com/nfl/boxscore/_/gameId/401326522" TargetMode="External"/><Relationship Id="rId47" Type="http://schemas.openxmlformats.org/officeDocument/2006/relationships/hyperlink" Target="http://www.espn.com/nfl/boxscore/_/gameId/401326381" TargetMode="External"/><Relationship Id="rId89" Type="http://schemas.openxmlformats.org/officeDocument/2006/relationships/hyperlink" Target="http://www.espn.com/nfl/boxscore/_/gameId/401326379" TargetMode="External"/><Relationship Id="rId112" Type="http://schemas.openxmlformats.org/officeDocument/2006/relationships/hyperlink" Target="http://www.espn.com/nfl/boxscore/_/gameId/401326526" TargetMode="External"/><Relationship Id="rId154" Type="http://schemas.openxmlformats.org/officeDocument/2006/relationships/hyperlink" Target="http://www.espn.com/nfl/boxscore/_/gameId/401326532" TargetMode="External"/><Relationship Id="rId361" Type="http://schemas.openxmlformats.org/officeDocument/2006/relationships/hyperlink" Target="http://www.espn.com/nfl/boxscore/_/gameId/401326475" TargetMode="External"/><Relationship Id="rId196" Type="http://schemas.openxmlformats.org/officeDocument/2006/relationships/hyperlink" Target="http://www.espn.com/nfl/boxscore/_/gameId/401326514" TargetMode="External"/><Relationship Id="rId417" Type="http://schemas.openxmlformats.org/officeDocument/2006/relationships/hyperlink" Target="http://www.espn.com/nfl/boxscore/_/gameId/401326493" TargetMode="External"/><Relationship Id="rId16" Type="http://schemas.openxmlformats.org/officeDocument/2006/relationships/hyperlink" Target="http://www.espn.com/nfl/boxscore/_/gameId/401326315" TargetMode="External"/><Relationship Id="rId221" Type="http://schemas.openxmlformats.org/officeDocument/2006/relationships/hyperlink" Target="http://www.espn.com/nfl/boxscore/_/gameId/401326477" TargetMode="External"/><Relationship Id="rId263" Type="http://schemas.openxmlformats.org/officeDocument/2006/relationships/hyperlink" Target="http://www.espn.com/nfl/boxscore/_/gameId/401326492" TargetMode="External"/><Relationship Id="rId319" Type="http://schemas.openxmlformats.org/officeDocument/2006/relationships/hyperlink" Target="http://www.espn.com/nfl/boxscore/_/gameId/401326487" TargetMode="External"/><Relationship Id="rId58" Type="http://schemas.openxmlformats.org/officeDocument/2006/relationships/hyperlink" Target="http://www.espn.com/nfl/boxscore/_/gameId/401326309" TargetMode="External"/><Relationship Id="rId123" Type="http://schemas.openxmlformats.org/officeDocument/2006/relationships/hyperlink" Target="http://www.espn.com/nfl/boxscore/_/gameId/401326490" TargetMode="External"/><Relationship Id="rId330" Type="http://schemas.openxmlformats.org/officeDocument/2006/relationships/hyperlink" Target="http://www.espn.com/nfl/boxscore/_/gameId/401326428" TargetMode="External"/><Relationship Id="rId165" Type="http://schemas.openxmlformats.org/officeDocument/2006/relationships/hyperlink" Target="http://www.espn.com/nfl/boxscore/_/gameId/401326476" TargetMode="External"/><Relationship Id="rId372" Type="http://schemas.openxmlformats.org/officeDocument/2006/relationships/hyperlink" Target="http://www.espn.com/nfl/boxscore/_/gameId/401326440" TargetMode="External"/><Relationship Id="rId428" Type="http://schemas.openxmlformats.org/officeDocument/2006/relationships/hyperlink" Target="http://www.espn.com/nfl/boxscore/_/gameId/401326429" TargetMode="External"/><Relationship Id="rId232" Type="http://schemas.openxmlformats.org/officeDocument/2006/relationships/hyperlink" Target="http://www.espn.com/nfl/boxscore/_/gameId/401326431" TargetMode="External"/><Relationship Id="rId274" Type="http://schemas.openxmlformats.org/officeDocument/2006/relationships/hyperlink" Target="http://www.espn.com/nfl/boxscore/_/gameId/401326426" TargetMode="External"/><Relationship Id="rId27" Type="http://schemas.openxmlformats.org/officeDocument/2006/relationships/hyperlink" Target="http://www.espn.com/nfl/boxscore/_/gameId/401326510" TargetMode="External"/><Relationship Id="rId69" Type="http://schemas.openxmlformats.org/officeDocument/2006/relationships/hyperlink" Target="http://www.espn.com/nfl/boxscore/_/gameId/401326501" TargetMode="External"/><Relationship Id="rId134" Type="http://schemas.openxmlformats.org/officeDocument/2006/relationships/hyperlink" Target="http://www.espn.com/nfl/boxscore/_/gameId/401326423" TargetMode="External"/><Relationship Id="rId80" Type="http://schemas.openxmlformats.org/officeDocument/2006/relationships/hyperlink" Target="http://www.espn.com/nfl/boxscore/_/gameId/401326464" TargetMode="External"/><Relationship Id="rId176" Type="http://schemas.openxmlformats.org/officeDocument/2006/relationships/hyperlink" Target="http://www.espn.com/nfl/boxscore/_/gameId/401326432" TargetMode="External"/><Relationship Id="rId341" Type="http://schemas.openxmlformats.org/officeDocument/2006/relationships/hyperlink" Target="http://www.espn.com/nfl/boxscore/_/gameId/401326387" TargetMode="External"/><Relationship Id="rId383" Type="http://schemas.openxmlformats.org/officeDocument/2006/relationships/hyperlink" Target="http://www.espn.com/nfl/boxscore/_/gameId/401326390" TargetMode="External"/><Relationship Id="rId439" Type="http://schemas.openxmlformats.org/officeDocument/2006/relationships/hyperlink" Target="http://www.espn.com/nfl/boxscore/_/gameId/401326380" TargetMode="External"/><Relationship Id="rId201" Type="http://schemas.openxmlformats.org/officeDocument/2006/relationships/hyperlink" Target="http://www.espn.com/nfl/boxscore/_/gameId/401326379" TargetMode="External"/><Relationship Id="rId243" Type="http://schemas.openxmlformats.org/officeDocument/2006/relationships/hyperlink" Target="http://www.espn.com/nfl/boxscore/_/gameId/401326389" TargetMode="External"/><Relationship Id="rId285" Type="http://schemas.openxmlformats.org/officeDocument/2006/relationships/hyperlink" Target="http://www.espn.com/nfl/boxscore/_/gameId/401326385" TargetMode="External"/><Relationship Id="rId38" Type="http://schemas.openxmlformats.org/officeDocument/2006/relationships/hyperlink" Target="http://www.espn.com/nfl/boxscore/_/gameId/401326465" TargetMode="External"/><Relationship Id="rId103" Type="http://schemas.openxmlformats.org/officeDocument/2006/relationships/hyperlink" Target="http://www.espn.com/nfl/boxscore/_/gameId/401326385" TargetMode="External"/><Relationship Id="rId310" Type="http://schemas.openxmlformats.org/officeDocument/2006/relationships/hyperlink" Target="http://www.espn.com/nfl/boxscore/_/gameId/401326319" TargetMode="External"/><Relationship Id="rId91" Type="http://schemas.openxmlformats.org/officeDocument/2006/relationships/hyperlink" Target="http://www.espn.com/nfl/boxscore/_/gameId/401326414" TargetMode="External"/><Relationship Id="rId145" Type="http://schemas.openxmlformats.org/officeDocument/2006/relationships/hyperlink" Target="http://www.espn.com/nfl/boxscore/_/gameId/401326382" TargetMode="External"/><Relationship Id="rId187" Type="http://schemas.openxmlformats.org/officeDocument/2006/relationships/hyperlink" Target="http://www.espn.com/nfl/boxscore/_/gameId/401326384" TargetMode="External"/><Relationship Id="rId352" Type="http://schemas.openxmlformats.org/officeDocument/2006/relationships/hyperlink" Target="http://www.espn.com/nfl/boxscore/_/gameId/401326315" TargetMode="External"/><Relationship Id="rId394" Type="http://schemas.openxmlformats.org/officeDocument/2006/relationships/hyperlink" Target="http://www.espn.com/nfl/boxscore/_/gameId/401326318" TargetMode="External"/><Relationship Id="rId408" Type="http://schemas.openxmlformats.org/officeDocument/2006/relationships/hyperlink" Target="http://www.espn.com/nfl/boxscore/_/gameId/401326322" TargetMode="External"/><Relationship Id="rId212" Type="http://schemas.openxmlformats.org/officeDocument/2006/relationships/hyperlink" Target="http://www.espn.com/nfl/boxscore/_/gameId/401326314" TargetMode="External"/><Relationship Id="rId254" Type="http://schemas.openxmlformats.org/officeDocument/2006/relationships/hyperlink" Target="http://www.espn.com/nfl/boxscore/_/gameId/401326312" TargetMode="External"/><Relationship Id="rId49" Type="http://schemas.openxmlformats.org/officeDocument/2006/relationships/hyperlink" Target="http://www.espn.com/nfl/boxscore/_/gameId/401326422" TargetMode="External"/><Relationship Id="rId114" Type="http://schemas.openxmlformats.org/officeDocument/2006/relationships/hyperlink" Target="http://www.espn.com/nfl/boxscore/_/gameId/401326322" TargetMode="External"/><Relationship Id="rId296" Type="http://schemas.openxmlformats.org/officeDocument/2006/relationships/hyperlink" Target="http://www.espn.com/nfl/boxscore/_/gameId/401326313" TargetMode="External"/><Relationship Id="rId60" Type="http://schemas.openxmlformats.org/officeDocument/2006/relationships/hyperlink" Target="http://www.espn.com/nfl/boxscore/_/gameId/401326363" TargetMode="External"/><Relationship Id="rId156" Type="http://schemas.openxmlformats.org/officeDocument/2006/relationships/hyperlink" Target="http://www.espn.com/nfl/boxscore/_/gameId/401326319" TargetMode="External"/><Relationship Id="rId198" Type="http://schemas.openxmlformats.org/officeDocument/2006/relationships/hyperlink" Target="http://www.espn.com/nfl/boxscore/_/gameId/401326310" TargetMode="External"/><Relationship Id="rId321" Type="http://schemas.openxmlformats.org/officeDocument/2006/relationships/hyperlink" Target="http://www.espn.com/nfl/boxscore/_/gameId/401326509" TargetMode="External"/><Relationship Id="rId363" Type="http://schemas.openxmlformats.org/officeDocument/2006/relationships/hyperlink" Target="http://www.espn.com/nfl/boxscore/_/gameId/401326503" TargetMode="External"/><Relationship Id="rId419" Type="http://schemas.openxmlformats.org/officeDocument/2006/relationships/hyperlink" Target="http://www.espn.com/nfl/boxscore/_/gameId/401326510" TargetMode="External"/><Relationship Id="rId223" Type="http://schemas.openxmlformats.org/officeDocument/2006/relationships/hyperlink" Target="http://www.espn.com/nfl/boxscore/_/gameId/401326515" TargetMode="External"/><Relationship Id="rId430" Type="http://schemas.openxmlformats.org/officeDocument/2006/relationships/hyperlink" Target="http://www.espn.com/nfl/boxscore/_/gameId/401326463" TargetMode="External"/><Relationship Id="rId18" Type="http://schemas.openxmlformats.org/officeDocument/2006/relationships/hyperlink" Target="http://www.espn.com/nfl/boxscore/_/gameId/401326370" TargetMode="External"/><Relationship Id="rId39" Type="http://schemas.openxmlformats.org/officeDocument/2006/relationships/hyperlink" Target="http://www.espn.com/nfl/boxscore/_/gameId/401326482" TargetMode="External"/><Relationship Id="rId265" Type="http://schemas.openxmlformats.org/officeDocument/2006/relationships/hyperlink" Target="http://www.espn.com/nfl/boxscore/_/gameId/401326512" TargetMode="External"/><Relationship Id="rId286" Type="http://schemas.openxmlformats.org/officeDocument/2006/relationships/hyperlink" Target="http://www.espn.com/nfl/boxscore/_/gameId/401326400" TargetMode="External"/><Relationship Id="rId50" Type="http://schemas.openxmlformats.org/officeDocument/2006/relationships/hyperlink" Target="http://www.espn.com/nfl/boxscore/_/gameId/401326438" TargetMode="External"/><Relationship Id="rId104" Type="http://schemas.openxmlformats.org/officeDocument/2006/relationships/hyperlink" Target="http://www.espn.com/nfl/boxscore/_/gameId/401326404" TargetMode="External"/><Relationship Id="rId125" Type="http://schemas.openxmlformats.org/officeDocument/2006/relationships/hyperlink" Target="http://www.espn.com/nfl/boxscore/_/gameId/401326509" TargetMode="External"/><Relationship Id="rId146" Type="http://schemas.openxmlformats.org/officeDocument/2006/relationships/hyperlink" Target="http://www.espn.com/nfl/boxscore/_/gameId/401326400" TargetMode="External"/><Relationship Id="rId167" Type="http://schemas.openxmlformats.org/officeDocument/2006/relationships/hyperlink" Target="http://www.espn.com/nfl/boxscore/_/gameId/401326505" TargetMode="External"/><Relationship Id="rId188" Type="http://schemas.openxmlformats.org/officeDocument/2006/relationships/hyperlink" Target="http://www.espn.com/nfl/boxscore/_/gameId/401326409" TargetMode="External"/><Relationship Id="rId311" Type="http://schemas.openxmlformats.org/officeDocument/2006/relationships/hyperlink" Target="http://www.espn.com/nfl/boxscore/_/gameId/401326128" TargetMode="External"/><Relationship Id="rId332" Type="http://schemas.openxmlformats.org/officeDocument/2006/relationships/hyperlink" Target="http://www.espn.com/nfl/boxscore/_/gameId/401326459" TargetMode="External"/><Relationship Id="rId353" Type="http://schemas.openxmlformats.org/officeDocument/2006/relationships/hyperlink" Target="http://www.espn.com/nfl/boxscore/_/gameId/401326355" TargetMode="External"/><Relationship Id="rId374" Type="http://schemas.openxmlformats.org/officeDocument/2006/relationships/hyperlink" Target="http://www.espn.com/nfl/boxscore/_/gameId/401326470" TargetMode="External"/><Relationship Id="rId395" Type="http://schemas.openxmlformats.org/officeDocument/2006/relationships/hyperlink" Target="http://www.espn.com/nfl/boxscore/_/gameId/401326360" TargetMode="External"/><Relationship Id="rId409" Type="http://schemas.openxmlformats.org/officeDocument/2006/relationships/hyperlink" Target="http://www.espn.com/nfl/boxscore/_/gameId/401326358" TargetMode="External"/><Relationship Id="rId71" Type="http://schemas.openxmlformats.org/officeDocument/2006/relationships/hyperlink" Target="http://www.espn.com/nfl/team/_/name/chi/chicago-bears" TargetMode="External"/><Relationship Id="rId92" Type="http://schemas.openxmlformats.org/officeDocument/2006/relationships/hyperlink" Target="http://www.espn.com/nfl/boxscore/_/gameId/401326424" TargetMode="External"/><Relationship Id="rId213" Type="http://schemas.openxmlformats.org/officeDocument/2006/relationships/hyperlink" Target="http://www.espn.com/nfl/boxscore/_/gameId/401326361" TargetMode="External"/><Relationship Id="rId234" Type="http://schemas.openxmlformats.org/officeDocument/2006/relationships/hyperlink" Target="http://www.espn.com/nfl/boxscore/_/gameId/401326477" TargetMode="External"/><Relationship Id="rId420" Type="http://schemas.openxmlformats.org/officeDocument/2006/relationships/hyperlink" Target="http://www.espn.com/nfl/boxscore/_/gameId/401326534" TargetMode="External"/><Relationship Id="rId2" Type="http://schemas.openxmlformats.org/officeDocument/2006/relationships/hyperlink" Target="http://www.espn.com/nfl/boxscore/_/gameId/401326311" TargetMode="External"/><Relationship Id="rId29" Type="http://schemas.openxmlformats.org/officeDocument/2006/relationships/hyperlink" Target="http://www.espn.com/nfl/team/_/name/bal/baltimore-ravens" TargetMode="External"/><Relationship Id="rId255" Type="http://schemas.openxmlformats.org/officeDocument/2006/relationships/hyperlink" Target="http://www.espn.com/nfl/boxscore/_/gameId/401326359" TargetMode="External"/><Relationship Id="rId276" Type="http://schemas.openxmlformats.org/officeDocument/2006/relationships/hyperlink" Target="http://www.espn.com/nfl/boxscore/_/gameId/401326457" TargetMode="External"/><Relationship Id="rId297" Type="http://schemas.openxmlformats.org/officeDocument/2006/relationships/hyperlink" Target="http://www.espn.com/nfl/boxscore/_/gameId/401326354" TargetMode="External"/><Relationship Id="rId441" Type="http://schemas.openxmlformats.org/officeDocument/2006/relationships/hyperlink" Target="http://www.espn.com/nfl/boxscore/_/gameId/401326417" TargetMode="External"/><Relationship Id="rId40" Type="http://schemas.openxmlformats.org/officeDocument/2006/relationships/hyperlink" Target="http://www.espn.com/nfl/boxscore/_/gameId/401326507" TargetMode="External"/><Relationship Id="rId115" Type="http://schemas.openxmlformats.org/officeDocument/2006/relationships/hyperlink" Target="http://www.espn.com/nfl/boxscore/_/gameId/401326359" TargetMode="External"/><Relationship Id="rId136" Type="http://schemas.openxmlformats.org/officeDocument/2006/relationships/hyperlink" Target="http://www.espn.com/nfl/boxscore/_/gameId/401326455" TargetMode="External"/><Relationship Id="rId157" Type="http://schemas.openxmlformats.org/officeDocument/2006/relationships/hyperlink" Target="http://www.espn.com/nfl/boxscore/_/gameId/401326362" TargetMode="External"/><Relationship Id="rId178" Type="http://schemas.openxmlformats.org/officeDocument/2006/relationships/hyperlink" Target="http://www.espn.com/nfl/boxscore/_/gameId/401326457" TargetMode="External"/><Relationship Id="rId301" Type="http://schemas.openxmlformats.org/officeDocument/2006/relationships/hyperlink" Target="http://www.espn.com/nfl/boxscore/_/gameId/401326420" TargetMode="External"/><Relationship Id="rId322" Type="http://schemas.openxmlformats.org/officeDocument/2006/relationships/hyperlink" Target="http://www.espn.com/nfl/boxscore/_/gameId/401326529" TargetMode="External"/><Relationship Id="rId343" Type="http://schemas.openxmlformats.org/officeDocument/2006/relationships/hyperlink" Target="http://www.espn.com/nfl/boxscore/_/gameId/401326427" TargetMode="External"/><Relationship Id="rId364" Type="http://schemas.openxmlformats.org/officeDocument/2006/relationships/hyperlink" Target="http://www.espn.com/nfl/boxscore/_/gameId/401326517" TargetMode="External"/><Relationship Id="rId61" Type="http://schemas.openxmlformats.org/officeDocument/2006/relationships/hyperlink" Target="http://www.espn.com/nfl/boxscore/_/gameId/401326383" TargetMode="External"/><Relationship Id="rId82" Type="http://schemas.openxmlformats.org/officeDocument/2006/relationships/hyperlink" Target="http://www.espn.com/nfl/boxscore/_/gameId/401326494" TargetMode="External"/><Relationship Id="rId199" Type="http://schemas.openxmlformats.org/officeDocument/2006/relationships/hyperlink" Target="http://www.espn.com/nfl/boxscore/_/gameId/401326132" TargetMode="External"/><Relationship Id="rId203" Type="http://schemas.openxmlformats.org/officeDocument/2006/relationships/hyperlink" Target="http://www.espn.com/nfl/boxscore/_/gameId/401326325" TargetMode="External"/><Relationship Id="rId385" Type="http://schemas.openxmlformats.org/officeDocument/2006/relationships/hyperlink" Target="http://www.espn.com/nfl/boxscore/_/gameId/401326434" TargetMode="External"/><Relationship Id="rId19" Type="http://schemas.openxmlformats.org/officeDocument/2006/relationships/hyperlink" Target="http://www.espn.com/nfl/boxscore/_/gameId/401326380" TargetMode="External"/><Relationship Id="rId224" Type="http://schemas.openxmlformats.org/officeDocument/2006/relationships/hyperlink" Target="http://www.espn.com/nfl/boxscore/_/gameId/401326528" TargetMode="External"/><Relationship Id="rId245" Type="http://schemas.openxmlformats.org/officeDocument/2006/relationships/hyperlink" Target="http://www.espn.com/nfl/boxscore/_/gameId/401326416" TargetMode="External"/><Relationship Id="rId266" Type="http://schemas.openxmlformats.org/officeDocument/2006/relationships/hyperlink" Target="http://www.espn.com/nfl/boxscore/_/gameId/401326533" TargetMode="External"/><Relationship Id="rId287" Type="http://schemas.openxmlformats.org/officeDocument/2006/relationships/hyperlink" Target="http://www.espn.com/nfl/boxscore/_/gameId/401326412" TargetMode="External"/><Relationship Id="rId410" Type="http://schemas.openxmlformats.org/officeDocument/2006/relationships/hyperlink" Target="http://www.espn.com/nfl/boxscore/_/gameId/401326375" TargetMode="External"/><Relationship Id="rId431" Type="http://schemas.openxmlformats.org/officeDocument/2006/relationships/hyperlink" Target="http://www.espn.com/nfl/boxscore/_/gameId/401326471" TargetMode="External"/><Relationship Id="rId30" Type="http://schemas.openxmlformats.org/officeDocument/2006/relationships/hyperlink" Target="http://www.espn.com/nfl/boxscore/_/gameId/401326321" TargetMode="External"/><Relationship Id="rId105" Type="http://schemas.openxmlformats.org/officeDocument/2006/relationships/hyperlink" Target="http://www.espn.com/nfl/boxscore/_/gameId/401326418" TargetMode="External"/><Relationship Id="rId126" Type="http://schemas.openxmlformats.org/officeDocument/2006/relationships/hyperlink" Target="http://www.espn.com/nfl/boxscore/_/gameId/401326531" TargetMode="External"/><Relationship Id="rId147" Type="http://schemas.openxmlformats.org/officeDocument/2006/relationships/hyperlink" Target="http://www.espn.com/nfl/boxscore/_/gameId/401326414" TargetMode="External"/><Relationship Id="rId168" Type="http://schemas.openxmlformats.org/officeDocument/2006/relationships/hyperlink" Target="http://www.espn.com/nfl/boxscore/_/gameId/401326535" TargetMode="External"/><Relationship Id="rId312" Type="http://schemas.openxmlformats.org/officeDocument/2006/relationships/hyperlink" Target="http://www.espn.com/nfl/boxscore/_/gameId/401326369" TargetMode="External"/><Relationship Id="rId333" Type="http://schemas.openxmlformats.org/officeDocument/2006/relationships/hyperlink" Target="http://www.espn.com/nfl/boxscore/_/gameId/401326493" TargetMode="External"/><Relationship Id="rId354" Type="http://schemas.openxmlformats.org/officeDocument/2006/relationships/hyperlink" Target="http://www.espn.com/nfl/boxscore/_/gameId/401326378" TargetMode="External"/><Relationship Id="rId51" Type="http://schemas.openxmlformats.org/officeDocument/2006/relationships/hyperlink" Target="http://www.espn.com/nfl/boxscore/_/gameId/401326456" TargetMode="External"/><Relationship Id="rId72" Type="http://schemas.openxmlformats.org/officeDocument/2006/relationships/hyperlink" Target="http://www.espn.com/nfl/boxscore/_/gameId/401326323" TargetMode="External"/><Relationship Id="rId93" Type="http://schemas.openxmlformats.org/officeDocument/2006/relationships/hyperlink" Target="http://www.espn.com/nfl/boxscore/_/gameId/401326444" TargetMode="External"/><Relationship Id="rId189" Type="http://schemas.openxmlformats.org/officeDocument/2006/relationships/hyperlink" Target="http://www.espn.com/nfl/boxscore/_/gameId/401326415" TargetMode="External"/><Relationship Id="rId375" Type="http://schemas.openxmlformats.org/officeDocument/2006/relationships/hyperlink" Target="http://www.espn.com/nfl/boxscore/_/gameId/401326492" TargetMode="External"/><Relationship Id="rId396" Type="http://schemas.openxmlformats.org/officeDocument/2006/relationships/hyperlink" Target="http://www.espn.com/nfl/boxscore/_/gameId/401326376" TargetMode="External"/><Relationship Id="rId3" Type="http://schemas.openxmlformats.org/officeDocument/2006/relationships/hyperlink" Target="http://www.espn.com/nfl/boxscore/_/gameId/401326357" TargetMode="External"/><Relationship Id="rId214" Type="http://schemas.openxmlformats.org/officeDocument/2006/relationships/hyperlink" Target="http://www.espn.com/nfl/boxscore/_/gameId/401326368" TargetMode="External"/><Relationship Id="rId235" Type="http://schemas.openxmlformats.org/officeDocument/2006/relationships/hyperlink" Target="http://www.espn.com/nfl/boxscore/_/gameId/401326489" TargetMode="External"/><Relationship Id="rId256" Type="http://schemas.openxmlformats.org/officeDocument/2006/relationships/hyperlink" Target="http://www.espn.com/nfl/boxscore/_/gameId/401326368" TargetMode="External"/><Relationship Id="rId277" Type="http://schemas.openxmlformats.org/officeDocument/2006/relationships/hyperlink" Target="http://www.espn.com/nfl/boxscore/_/gameId/401326465" TargetMode="External"/><Relationship Id="rId298" Type="http://schemas.openxmlformats.org/officeDocument/2006/relationships/hyperlink" Target="http://www.espn.com/nfl/boxscore/_/gameId/401326369" TargetMode="External"/><Relationship Id="rId400" Type="http://schemas.openxmlformats.org/officeDocument/2006/relationships/hyperlink" Target="http://www.espn.com/nfl/boxscore/_/gameId/401326435" TargetMode="External"/><Relationship Id="rId421" Type="http://schemas.openxmlformats.org/officeDocument/2006/relationships/hyperlink" Target="http://www.espn.com/nfl/team/_/name/ten/tennessee-titans" TargetMode="External"/><Relationship Id="rId442" Type="http://schemas.openxmlformats.org/officeDocument/2006/relationships/hyperlink" Target="http://www.espn.com/nfl/boxscore/_/gameId/401326425" TargetMode="External"/><Relationship Id="rId116" Type="http://schemas.openxmlformats.org/officeDocument/2006/relationships/hyperlink" Target="http://www.espn.com/nfl/boxscore/_/gameId/401326378" TargetMode="External"/><Relationship Id="rId137" Type="http://schemas.openxmlformats.org/officeDocument/2006/relationships/hyperlink" Target="http://www.espn.com/nfl/boxscore/_/gameId/401326475" TargetMode="External"/><Relationship Id="rId158" Type="http://schemas.openxmlformats.org/officeDocument/2006/relationships/hyperlink" Target="http://www.espn.com/nfl/boxscore/_/gameId/401326377" TargetMode="External"/><Relationship Id="rId302" Type="http://schemas.openxmlformats.org/officeDocument/2006/relationships/hyperlink" Target="http://www.espn.com/nfl/boxscore/_/gameId/401326427" TargetMode="External"/><Relationship Id="rId323" Type="http://schemas.openxmlformats.org/officeDocument/2006/relationships/hyperlink" Target="http://www.espn.com/nfl/team/_/name/nyg/new-york-giants" TargetMode="External"/><Relationship Id="rId344" Type="http://schemas.openxmlformats.org/officeDocument/2006/relationships/hyperlink" Target="http://www.espn.com/nfl/boxscore/_/gameId/401326444" TargetMode="External"/><Relationship Id="rId20" Type="http://schemas.openxmlformats.org/officeDocument/2006/relationships/hyperlink" Target="http://www.espn.com/nfl/boxscore/_/gameId/401326324" TargetMode="External"/><Relationship Id="rId41" Type="http://schemas.openxmlformats.org/officeDocument/2006/relationships/hyperlink" Target="http://www.espn.com/nfl/boxscore/_/gameId/401326520" TargetMode="External"/><Relationship Id="rId62" Type="http://schemas.openxmlformats.org/officeDocument/2006/relationships/hyperlink" Target="http://www.espn.com/nfl/boxscore/_/gameId/401326396" TargetMode="External"/><Relationship Id="rId83" Type="http://schemas.openxmlformats.org/officeDocument/2006/relationships/hyperlink" Target="http://www.espn.com/nfl/boxscore/_/gameId/401326511" TargetMode="External"/><Relationship Id="rId179" Type="http://schemas.openxmlformats.org/officeDocument/2006/relationships/hyperlink" Target="http://www.espn.com/nfl/boxscore/_/gameId/401326488" TargetMode="External"/><Relationship Id="rId365" Type="http://schemas.openxmlformats.org/officeDocument/2006/relationships/hyperlink" Target="http://www.espn.com/nfl/team/_/name/pit/pittsburgh-steelers" TargetMode="External"/><Relationship Id="rId386" Type="http://schemas.openxmlformats.org/officeDocument/2006/relationships/hyperlink" Target="http://www.espn.com/nfl/boxscore/_/gameId/401326439" TargetMode="External"/><Relationship Id="rId190" Type="http://schemas.openxmlformats.org/officeDocument/2006/relationships/hyperlink" Target="http://www.espn.com/nfl/boxscore/_/gameId/401326434" TargetMode="External"/><Relationship Id="rId204" Type="http://schemas.openxmlformats.org/officeDocument/2006/relationships/hyperlink" Target="http://www.espn.com/nfl/boxscore/_/gameId/401326446" TargetMode="External"/><Relationship Id="rId225" Type="http://schemas.openxmlformats.org/officeDocument/2006/relationships/hyperlink" Target="http://www.espn.com/nfl/team/_/name/lv/las-vegas-raiders" TargetMode="External"/><Relationship Id="rId246" Type="http://schemas.openxmlformats.org/officeDocument/2006/relationships/hyperlink" Target="http://www.espn.com/nfl/boxscore/_/gameId/401326430" TargetMode="External"/><Relationship Id="rId267" Type="http://schemas.openxmlformats.org/officeDocument/2006/relationships/hyperlink" Target="http://www.espn.com/nfl/team/_/name/mia/miami-dolphins" TargetMode="External"/><Relationship Id="rId288" Type="http://schemas.openxmlformats.org/officeDocument/2006/relationships/hyperlink" Target="http://www.espn.com/nfl/boxscore/_/gameId/401326449" TargetMode="External"/><Relationship Id="rId411" Type="http://schemas.openxmlformats.org/officeDocument/2006/relationships/hyperlink" Target="http://www.espn.com/nfl/boxscore/_/gameId/401326393" TargetMode="External"/><Relationship Id="rId432" Type="http://schemas.openxmlformats.org/officeDocument/2006/relationships/hyperlink" Target="http://www.espn.com/nfl/boxscore/_/gameId/401326488" TargetMode="External"/><Relationship Id="rId106" Type="http://schemas.openxmlformats.org/officeDocument/2006/relationships/hyperlink" Target="http://www.espn.com/nfl/boxscore/_/gameId/401326423" TargetMode="External"/><Relationship Id="rId127" Type="http://schemas.openxmlformats.org/officeDocument/2006/relationships/hyperlink" Target="http://www.espn.com/nfl/team/_/name/den/denver-broncos" TargetMode="External"/><Relationship Id="rId313" Type="http://schemas.openxmlformats.org/officeDocument/2006/relationships/hyperlink" Target="http://www.espn.com/nfl/boxscore/_/gameId/401326386" TargetMode="External"/><Relationship Id="rId10" Type="http://schemas.openxmlformats.org/officeDocument/2006/relationships/hyperlink" Target="http://www.espn.com/nfl/boxscore/_/gameId/401326462" TargetMode="External"/><Relationship Id="rId31" Type="http://schemas.openxmlformats.org/officeDocument/2006/relationships/hyperlink" Target="http://www.espn.com/nfl/boxscore/_/gameId/401326361" TargetMode="External"/><Relationship Id="rId52" Type="http://schemas.openxmlformats.org/officeDocument/2006/relationships/hyperlink" Target="http://www.espn.com/nfl/boxscore/_/gameId/401326469" TargetMode="External"/><Relationship Id="rId73" Type="http://schemas.openxmlformats.org/officeDocument/2006/relationships/hyperlink" Target="http://www.espn.com/nfl/boxscore/_/gameId/401326129" TargetMode="External"/><Relationship Id="rId94" Type="http://schemas.openxmlformats.org/officeDocument/2006/relationships/hyperlink" Target="http://www.espn.com/nfl/boxscore/_/gameId/401326454" TargetMode="External"/><Relationship Id="rId148" Type="http://schemas.openxmlformats.org/officeDocument/2006/relationships/hyperlink" Target="http://www.espn.com/nfl/boxscore/_/gameId/401326430" TargetMode="External"/><Relationship Id="rId169" Type="http://schemas.openxmlformats.org/officeDocument/2006/relationships/hyperlink" Target="http://www.espn.com/nfl/team/_/name/hou/houston-texans" TargetMode="External"/><Relationship Id="rId334" Type="http://schemas.openxmlformats.org/officeDocument/2006/relationships/hyperlink" Target="http://www.espn.com/nfl/boxscore/_/gameId/401326503" TargetMode="External"/><Relationship Id="rId355" Type="http://schemas.openxmlformats.org/officeDocument/2006/relationships/hyperlink" Target="http://www.espn.com/nfl/boxscore/_/gameId/401326388" TargetMode="External"/><Relationship Id="rId376" Type="http://schemas.openxmlformats.org/officeDocument/2006/relationships/hyperlink" Target="http://www.espn.com/nfl/boxscore/_/gameId/401326497" TargetMode="External"/><Relationship Id="rId397" Type="http://schemas.openxmlformats.org/officeDocument/2006/relationships/hyperlink" Target="http://www.espn.com/nfl/boxscore/_/gameId/401326390" TargetMode="External"/><Relationship Id="rId4" Type="http://schemas.openxmlformats.org/officeDocument/2006/relationships/hyperlink" Target="http://www.espn.com/nfl/boxscore/_/gameId/401326367" TargetMode="External"/><Relationship Id="rId180" Type="http://schemas.openxmlformats.org/officeDocument/2006/relationships/hyperlink" Target="http://www.espn.com/nfl/boxscore/_/gameId/401326498" TargetMode="External"/><Relationship Id="rId215" Type="http://schemas.openxmlformats.org/officeDocument/2006/relationships/hyperlink" Target="http://www.espn.com/nfl/boxscore/_/gameId/401326388" TargetMode="External"/><Relationship Id="rId236" Type="http://schemas.openxmlformats.org/officeDocument/2006/relationships/hyperlink" Target="http://www.espn.com/nfl/boxscore/_/gameId/401326495" TargetMode="External"/><Relationship Id="rId257" Type="http://schemas.openxmlformats.org/officeDocument/2006/relationships/hyperlink" Target="http://www.espn.com/nfl/boxscore/_/gameId/401326394" TargetMode="External"/><Relationship Id="rId278" Type="http://schemas.openxmlformats.org/officeDocument/2006/relationships/hyperlink" Target="http://www.espn.com/nfl/boxscore/_/gameId/401326486" TargetMode="External"/><Relationship Id="rId401" Type="http://schemas.openxmlformats.org/officeDocument/2006/relationships/hyperlink" Target="http://www.espn.com/nfl/boxscore/_/gameId/401326446" TargetMode="External"/><Relationship Id="rId422" Type="http://schemas.openxmlformats.org/officeDocument/2006/relationships/hyperlink" Target="http://www.espn.com/nfl/boxscore/_/gameId/401326311" TargetMode="External"/><Relationship Id="rId443" Type="http://schemas.openxmlformats.org/officeDocument/2006/relationships/hyperlink" Target="http://www.espn.com/nfl/boxscore/_/gameId/401326447" TargetMode="External"/><Relationship Id="rId303" Type="http://schemas.openxmlformats.org/officeDocument/2006/relationships/hyperlink" Target="http://www.espn.com/nfl/boxscore/_/gameId/401326445" TargetMode="External"/><Relationship Id="rId42" Type="http://schemas.openxmlformats.org/officeDocument/2006/relationships/hyperlink" Target="http://www.espn.com/nfl/boxscore/_/gameId/401326526" TargetMode="External"/><Relationship Id="rId84" Type="http://schemas.openxmlformats.org/officeDocument/2006/relationships/hyperlink" Target="http://www.espn.com/nfl/boxscore/_/gameId/401326535" TargetMode="External"/><Relationship Id="rId138" Type="http://schemas.openxmlformats.org/officeDocument/2006/relationships/hyperlink" Target="http://www.espn.com/nfl/boxscore/_/gameId/401326504" TargetMode="External"/><Relationship Id="rId345" Type="http://schemas.openxmlformats.org/officeDocument/2006/relationships/hyperlink" Target="http://www.espn.com/nfl/boxscore/_/gameId/401326451" TargetMode="External"/><Relationship Id="rId387" Type="http://schemas.openxmlformats.org/officeDocument/2006/relationships/hyperlink" Target="http://www.espn.com/nfl/boxscore/_/gameId/401326462" TargetMode="External"/><Relationship Id="rId191" Type="http://schemas.openxmlformats.org/officeDocument/2006/relationships/hyperlink" Target="http://www.espn.com/nfl/boxscore/_/gameId/401326443" TargetMode="External"/><Relationship Id="rId205" Type="http://schemas.openxmlformats.org/officeDocument/2006/relationships/hyperlink" Target="http://www.espn.com/nfl/boxscore/_/gameId/401326456" TargetMode="External"/><Relationship Id="rId247" Type="http://schemas.openxmlformats.org/officeDocument/2006/relationships/hyperlink" Target="http://www.espn.com/nfl/boxscore/_/gameId/401326442" TargetMode="External"/><Relationship Id="rId412" Type="http://schemas.openxmlformats.org/officeDocument/2006/relationships/hyperlink" Target="http://www.espn.com/nfl/boxscore/_/gameId/401326402" TargetMode="External"/><Relationship Id="rId107" Type="http://schemas.openxmlformats.org/officeDocument/2006/relationships/hyperlink" Target="http://www.espn.com/nfl/boxscore/_/gameId/401326440" TargetMode="External"/><Relationship Id="rId289" Type="http://schemas.openxmlformats.org/officeDocument/2006/relationships/hyperlink" Target="http://www.espn.com/nfl/boxscore/_/gameId/401326452" TargetMode="External"/><Relationship Id="rId11" Type="http://schemas.openxmlformats.org/officeDocument/2006/relationships/hyperlink" Target="http://www.espn.com/nfl/boxscore/_/gameId/401326473" TargetMode="External"/><Relationship Id="rId53" Type="http://schemas.openxmlformats.org/officeDocument/2006/relationships/hyperlink" Target="http://www.espn.com/nfl/boxscore/_/gameId/401326480" TargetMode="External"/><Relationship Id="rId149" Type="http://schemas.openxmlformats.org/officeDocument/2006/relationships/hyperlink" Target="http://www.espn.com/nfl/boxscore/_/gameId/401326441" TargetMode="External"/><Relationship Id="rId314" Type="http://schemas.openxmlformats.org/officeDocument/2006/relationships/hyperlink" Target="http://www.espn.com/nfl/boxscore/_/gameId/401326403" TargetMode="External"/><Relationship Id="rId356" Type="http://schemas.openxmlformats.org/officeDocument/2006/relationships/hyperlink" Target="http://www.espn.com/nfl/boxscore/_/gameId/401326396" TargetMode="External"/><Relationship Id="rId398" Type="http://schemas.openxmlformats.org/officeDocument/2006/relationships/hyperlink" Target="http://www.espn.com/nfl/boxscore/_/gameId/401326395" TargetMode="External"/><Relationship Id="rId95" Type="http://schemas.openxmlformats.org/officeDocument/2006/relationships/hyperlink" Target="http://www.espn.com/nfl/boxscore/_/gameId/401326489" TargetMode="External"/><Relationship Id="rId160" Type="http://schemas.openxmlformats.org/officeDocument/2006/relationships/hyperlink" Target="http://www.espn.com/nfl/boxscore/_/gameId/401326397" TargetMode="External"/><Relationship Id="rId216" Type="http://schemas.openxmlformats.org/officeDocument/2006/relationships/hyperlink" Target="http://www.espn.com/nfl/boxscore/_/gameId/401326408" TargetMode="External"/><Relationship Id="rId423" Type="http://schemas.openxmlformats.org/officeDocument/2006/relationships/hyperlink" Target="http://www.espn.com/nfl/boxscore/_/gameId/401326360" TargetMode="External"/><Relationship Id="rId258" Type="http://schemas.openxmlformats.org/officeDocument/2006/relationships/hyperlink" Target="http://www.espn.com/nfl/boxscore/_/gameId/401326404" TargetMode="External"/><Relationship Id="rId22" Type="http://schemas.openxmlformats.org/officeDocument/2006/relationships/hyperlink" Target="http://www.espn.com/nfl/boxscore/_/gameId/401326437" TargetMode="External"/><Relationship Id="rId64" Type="http://schemas.openxmlformats.org/officeDocument/2006/relationships/hyperlink" Target="http://www.espn.com/nfl/boxscore/_/gameId/401326428" TargetMode="External"/><Relationship Id="rId118" Type="http://schemas.openxmlformats.org/officeDocument/2006/relationships/hyperlink" Target="http://www.espn.com/nfl/boxscore/_/gameId/401326407" TargetMode="External"/><Relationship Id="rId325" Type="http://schemas.openxmlformats.org/officeDocument/2006/relationships/hyperlink" Target="http://www.espn.com/nfl/boxscore/_/gameId/401326127" TargetMode="External"/><Relationship Id="rId367" Type="http://schemas.openxmlformats.org/officeDocument/2006/relationships/hyperlink" Target="http://www.espn.com/nfl/boxscore/_/gameId/401326356" TargetMode="External"/><Relationship Id="rId171" Type="http://schemas.openxmlformats.org/officeDocument/2006/relationships/hyperlink" Target="http://www.espn.com/nfl/boxscore/_/gameId/401326130" TargetMode="External"/><Relationship Id="rId227" Type="http://schemas.openxmlformats.org/officeDocument/2006/relationships/hyperlink" Target="http://www.espn.com/nfl/boxscore/_/gameId/401326356" TargetMode="External"/><Relationship Id="rId269" Type="http://schemas.openxmlformats.org/officeDocument/2006/relationships/hyperlink" Target="http://www.espn.com/nfl/boxscore/_/gameId/401326353" TargetMode="External"/><Relationship Id="rId434" Type="http://schemas.openxmlformats.org/officeDocument/2006/relationships/hyperlink" Target="http://www.espn.com/nfl/boxscore/_/gameId/401326530" TargetMode="External"/><Relationship Id="rId33" Type="http://schemas.openxmlformats.org/officeDocument/2006/relationships/hyperlink" Target="http://www.espn.com/nfl/boxscore/_/gameId/401326391" TargetMode="External"/><Relationship Id="rId129" Type="http://schemas.openxmlformats.org/officeDocument/2006/relationships/hyperlink" Target="http://www.espn.com/nfl/boxscore/_/gameId/401326132" TargetMode="External"/><Relationship Id="rId280" Type="http://schemas.openxmlformats.org/officeDocument/2006/relationships/hyperlink" Target="http://www.espn.com/nfl/boxscore/_/gameId/401326516" TargetMode="External"/><Relationship Id="rId336" Type="http://schemas.openxmlformats.org/officeDocument/2006/relationships/hyperlink" Target="http://www.espn.com/nfl/boxscore/_/gameId/401326533" TargetMode="External"/><Relationship Id="rId75" Type="http://schemas.openxmlformats.org/officeDocument/2006/relationships/hyperlink" Target="http://www.espn.com/nfl/boxscore/_/gameId/401326382" TargetMode="External"/><Relationship Id="rId140" Type="http://schemas.openxmlformats.org/officeDocument/2006/relationships/hyperlink" Target="http://www.espn.com/nfl/boxscore/_/gameId/401326532" TargetMode="External"/><Relationship Id="rId182" Type="http://schemas.openxmlformats.org/officeDocument/2006/relationships/hyperlink" Target="http://www.espn.com/nfl/boxscore/_/gameId/401326527" TargetMode="External"/><Relationship Id="rId378" Type="http://schemas.openxmlformats.org/officeDocument/2006/relationships/hyperlink" Target="http://www.espn.com/nfl/boxscore/_/gameId/401326523" TargetMode="External"/><Relationship Id="rId403" Type="http://schemas.openxmlformats.org/officeDocument/2006/relationships/hyperlink" Target="http://www.espn.com/nfl/boxscore/_/gameId/401326491" TargetMode="External"/><Relationship Id="rId6" Type="http://schemas.openxmlformats.org/officeDocument/2006/relationships/hyperlink" Target="http://www.espn.com/nfl/boxscore/_/gameId/401326406" TargetMode="External"/><Relationship Id="rId238" Type="http://schemas.openxmlformats.org/officeDocument/2006/relationships/hyperlink" Target="http://www.espn.com/nfl/boxscore/_/gameId/401326528" TargetMode="External"/><Relationship Id="rId445" Type="http://schemas.openxmlformats.org/officeDocument/2006/relationships/hyperlink" Target="http://www.espn.com/nfl/boxscore/_/gameId/401326481" TargetMode="External"/><Relationship Id="rId291" Type="http://schemas.openxmlformats.org/officeDocument/2006/relationships/hyperlink" Target="http://www.espn.com/nfl/boxscore/_/gameId/401326485" TargetMode="External"/><Relationship Id="rId305" Type="http://schemas.openxmlformats.org/officeDocument/2006/relationships/hyperlink" Target="http://www.espn.com/nfl/boxscore/_/gameId/401326468" TargetMode="External"/><Relationship Id="rId347" Type="http://schemas.openxmlformats.org/officeDocument/2006/relationships/hyperlink" Target="http://www.espn.com/nfl/boxscore/_/gameId/401326486" TargetMode="External"/><Relationship Id="rId44" Type="http://schemas.openxmlformats.org/officeDocument/2006/relationships/hyperlink" Target="http://www.espn.com/nfl/boxscore/_/gameId/401326308" TargetMode="External"/><Relationship Id="rId86" Type="http://schemas.openxmlformats.org/officeDocument/2006/relationships/hyperlink" Target="http://www.espn.com/nfl/boxscore/_/gameId/401326316" TargetMode="External"/><Relationship Id="rId151" Type="http://schemas.openxmlformats.org/officeDocument/2006/relationships/hyperlink" Target="http://www.espn.com/nfl/boxscore/_/gameId/401326483" TargetMode="External"/><Relationship Id="rId389" Type="http://schemas.openxmlformats.org/officeDocument/2006/relationships/hyperlink" Target="http://www.espn.com/nfl/boxscore/_/gameId/401326484" TargetMode="External"/><Relationship Id="rId193" Type="http://schemas.openxmlformats.org/officeDocument/2006/relationships/hyperlink" Target="http://www.espn.com/nfl/boxscore/_/gameId/401326467" TargetMode="External"/><Relationship Id="rId207" Type="http://schemas.openxmlformats.org/officeDocument/2006/relationships/hyperlink" Target="http://www.espn.com/nfl/boxscore/_/gameId/401326484" TargetMode="External"/><Relationship Id="rId249" Type="http://schemas.openxmlformats.org/officeDocument/2006/relationships/hyperlink" Target="http://www.espn.com/nfl/boxscore/_/gameId/401326478" TargetMode="External"/><Relationship Id="rId414" Type="http://schemas.openxmlformats.org/officeDocument/2006/relationships/hyperlink" Target="http://www.espn.com/nfl/boxscore/_/gameId/401326433" TargetMode="External"/><Relationship Id="rId13" Type="http://schemas.openxmlformats.org/officeDocument/2006/relationships/hyperlink" Target="http://www.espn.com/nfl/boxscore/_/gameId/401326511" TargetMode="External"/><Relationship Id="rId109" Type="http://schemas.openxmlformats.org/officeDocument/2006/relationships/hyperlink" Target="http://www.espn.com/nfl/boxscore/_/gameId/401326468" TargetMode="External"/><Relationship Id="rId260" Type="http://schemas.openxmlformats.org/officeDocument/2006/relationships/hyperlink" Target="http://www.espn.com/nfl/boxscore/_/gameId/401326445" TargetMode="External"/><Relationship Id="rId316" Type="http://schemas.openxmlformats.org/officeDocument/2006/relationships/hyperlink" Target="http://www.espn.com/nfl/boxscore/_/gameId/401326448" TargetMode="External"/><Relationship Id="rId55" Type="http://schemas.openxmlformats.org/officeDocument/2006/relationships/hyperlink" Target="http://www.espn.com/nfl/boxscore/_/gameId/401326522" TargetMode="External"/><Relationship Id="rId97" Type="http://schemas.openxmlformats.org/officeDocument/2006/relationships/hyperlink" Target="http://www.espn.com/nfl/boxscore/_/gameId/401326512" TargetMode="External"/><Relationship Id="rId120" Type="http://schemas.openxmlformats.org/officeDocument/2006/relationships/hyperlink" Target="http://www.espn.com/nfl/boxscore/_/gameId/401326449" TargetMode="External"/><Relationship Id="rId358" Type="http://schemas.openxmlformats.org/officeDocument/2006/relationships/hyperlink" Target="http://www.espn.com/nfl/boxscore/_/gameId/401326431" TargetMode="External"/><Relationship Id="rId162" Type="http://schemas.openxmlformats.org/officeDocument/2006/relationships/hyperlink" Target="http://www.espn.com/nfl/boxscore/_/gameId/401326425" TargetMode="External"/><Relationship Id="rId218" Type="http://schemas.openxmlformats.org/officeDocument/2006/relationships/hyperlink" Target="http://www.espn.com/nfl/boxscore/_/gameId/401326429" TargetMode="External"/><Relationship Id="rId425" Type="http://schemas.openxmlformats.org/officeDocument/2006/relationships/hyperlink" Target="http://www.espn.com/nfl/boxscore/_/gameId/401326387" TargetMode="External"/><Relationship Id="rId271" Type="http://schemas.openxmlformats.org/officeDocument/2006/relationships/hyperlink" Target="http://www.espn.com/nfl/boxscore/_/gameId/401326384" TargetMode="External"/><Relationship Id="rId24" Type="http://schemas.openxmlformats.org/officeDocument/2006/relationships/hyperlink" Target="http://www.espn.com/nfl/boxscore/_/gameId/401326466" TargetMode="External"/><Relationship Id="rId66" Type="http://schemas.openxmlformats.org/officeDocument/2006/relationships/hyperlink" Target="http://www.espn.com/nfl/boxscore/_/gameId/401326453" TargetMode="External"/><Relationship Id="rId131" Type="http://schemas.openxmlformats.org/officeDocument/2006/relationships/hyperlink" Target="http://www.espn.com/nfl/boxscore/_/gameId/401326391" TargetMode="External"/><Relationship Id="rId327" Type="http://schemas.openxmlformats.org/officeDocument/2006/relationships/hyperlink" Target="http://www.espn.com/nfl/boxscore/_/gameId/401326386" TargetMode="External"/><Relationship Id="rId369" Type="http://schemas.openxmlformats.org/officeDocument/2006/relationships/hyperlink" Target="http://www.espn.com/nfl/boxscore/_/gameId/401326392" TargetMode="External"/><Relationship Id="rId173" Type="http://schemas.openxmlformats.org/officeDocument/2006/relationships/hyperlink" Target="http://www.espn.com/nfl/boxscore/_/gameId/401326381" TargetMode="External"/><Relationship Id="rId229" Type="http://schemas.openxmlformats.org/officeDocument/2006/relationships/hyperlink" Target="http://www.espn.com/nfl/boxscore/_/gameId/401326394" TargetMode="External"/><Relationship Id="rId380" Type="http://schemas.openxmlformats.org/officeDocument/2006/relationships/hyperlink" Target="http://www.espn.com/nfl/boxscore/_/gameId/401326317" TargetMode="External"/><Relationship Id="rId436" Type="http://schemas.openxmlformats.org/officeDocument/2006/relationships/hyperlink" Target="http://www.espn.com/nfl/boxscore/_/gameId/401326312" TargetMode="External"/><Relationship Id="rId240" Type="http://schemas.openxmlformats.org/officeDocument/2006/relationships/hyperlink" Target="http://www.espn.com/nfl/boxscore/_/gameId/401326323" TargetMode="External"/><Relationship Id="rId35" Type="http://schemas.openxmlformats.org/officeDocument/2006/relationships/hyperlink" Target="http://www.espn.com/nfl/boxscore/_/gameId/401326411" TargetMode="External"/><Relationship Id="rId77" Type="http://schemas.openxmlformats.org/officeDocument/2006/relationships/hyperlink" Target="http://www.espn.com/nfl/boxscore/_/gameId/401326413" TargetMode="External"/><Relationship Id="rId100" Type="http://schemas.openxmlformats.org/officeDocument/2006/relationships/hyperlink" Target="http://www.espn.com/nfl/boxscore/_/gameId/401326314" TargetMode="External"/><Relationship Id="rId282" Type="http://schemas.openxmlformats.org/officeDocument/2006/relationships/hyperlink" Target="http://www.espn.com/nfl/boxscore/_/gameId/401326316" TargetMode="External"/><Relationship Id="rId338" Type="http://schemas.openxmlformats.org/officeDocument/2006/relationships/hyperlink" Target="http://www.espn.com/nfl/boxscore/_/gameId/401326309" TargetMode="External"/><Relationship Id="rId8" Type="http://schemas.openxmlformats.org/officeDocument/2006/relationships/hyperlink" Target="http://www.espn.com/nfl/boxscore/_/gameId/401326432" TargetMode="External"/><Relationship Id="rId142" Type="http://schemas.openxmlformats.org/officeDocument/2006/relationships/hyperlink" Target="http://www.espn.com/nfl/boxscore/_/gameId/401326317" TargetMode="External"/><Relationship Id="rId184" Type="http://schemas.openxmlformats.org/officeDocument/2006/relationships/hyperlink" Target="http://www.espn.com/nfl/boxscore/_/gameId/401326318" TargetMode="External"/><Relationship Id="rId391" Type="http://schemas.openxmlformats.org/officeDocument/2006/relationships/hyperlink" Target="http://www.espn.com/nfl/boxscore/_/gameId/401326521" TargetMode="External"/><Relationship Id="rId405" Type="http://schemas.openxmlformats.org/officeDocument/2006/relationships/hyperlink" Target="http://www.espn.com/nfl/boxscore/_/gameId/401326521" TargetMode="External"/><Relationship Id="rId447" Type="http://schemas.openxmlformats.org/officeDocument/2006/relationships/hyperlink" Target="http://www.espn.com/nfl/boxscore/_/gameId/401326518" TargetMode="External"/><Relationship Id="rId251" Type="http://schemas.openxmlformats.org/officeDocument/2006/relationships/hyperlink" Target="http://www.espn.com/nfl/boxscore/_/gameId/401326519" TargetMode="External"/><Relationship Id="rId46" Type="http://schemas.openxmlformats.org/officeDocument/2006/relationships/hyperlink" Target="http://www.espn.com/nfl/boxscore/_/gameId/401326364" TargetMode="External"/><Relationship Id="rId293" Type="http://schemas.openxmlformats.org/officeDocument/2006/relationships/hyperlink" Target="http://www.espn.com/nfl/boxscore/_/gameId/401326513" TargetMode="External"/><Relationship Id="rId307" Type="http://schemas.openxmlformats.org/officeDocument/2006/relationships/hyperlink" Target="http://www.espn.com/nfl/boxscore/_/gameId/401326502" TargetMode="External"/><Relationship Id="rId349" Type="http://schemas.openxmlformats.org/officeDocument/2006/relationships/hyperlink" Target="http://www.espn.com/nfl/boxscore/_/gameId/401326517" TargetMode="External"/><Relationship Id="rId88" Type="http://schemas.openxmlformats.org/officeDocument/2006/relationships/hyperlink" Target="http://www.espn.com/nfl/boxscore/_/gameId/401326371" TargetMode="External"/><Relationship Id="rId111" Type="http://schemas.openxmlformats.org/officeDocument/2006/relationships/hyperlink" Target="http://www.espn.com/nfl/boxscore/_/gameId/401326507" TargetMode="External"/><Relationship Id="rId153" Type="http://schemas.openxmlformats.org/officeDocument/2006/relationships/hyperlink" Target="http://www.espn.com/nfl/boxscore/_/gameId/401326513" TargetMode="External"/><Relationship Id="rId195" Type="http://schemas.openxmlformats.org/officeDocument/2006/relationships/hyperlink" Target="http://www.espn.com/nfl/boxscore/_/gameId/401326499" TargetMode="External"/><Relationship Id="rId209" Type="http://schemas.openxmlformats.org/officeDocument/2006/relationships/hyperlink" Target="http://www.espn.com/nfl/boxscore/_/gameId/401326519" TargetMode="External"/><Relationship Id="rId360" Type="http://schemas.openxmlformats.org/officeDocument/2006/relationships/hyperlink" Target="http://www.espn.com/nfl/boxscore/_/gameId/401326460" TargetMode="External"/><Relationship Id="rId416" Type="http://schemas.openxmlformats.org/officeDocument/2006/relationships/hyperlink" Target="http://www.espn.com/nfl/boxscore/_/gameId/401326472" TargetMode="External"/><Relationship Id="rId220" Type="http://schemas.openxmlformats.org/officeDocument/2006/relationships/hyperlink" Target="http://www.espn.com/nfl/boxscore/_/gameId/401326461" TargetMode="External"/><Relationship Id="rId15" Type="http://schemas.openxmlformats.org/officeDocument/2006/relationships/hyperlink" Target="http://www.espn.com/nfl/team/_/name/atl/atlanta-falcons" TargetMode="External"/><Relationship Id="rId57" Type="http://schemas.openxmlformats.org/officeDocument/2006/relationships/hyperlink" Target="http://www.espn.com/nfl/team/_/name/car/carolina-panthers" TargetMode="External"/><Relationship Id="rId262" Type="http://schemas.openxmlformats.org/officeDocument/2006/relationships/hyperlink" Target="http://www.espn.com/nfl/boxscore/_/gameId/401326474" TargetMode="External"/><Relationship Id="rId318" Type="http://schemas.openxmlformats.org/officeDocument/2006/relationships/hyperlink" Target="http://www.espn.com/nfl/boxscore/_/gameId/401326471" TargetMode="External"/><Relationship Id="rId99" Type="http://schemas.openxmlformats.org/officeDocument/2006/relationships/hyperlink" Target="http://www.espn.com/nfl/team/_/name/cle/cleveland-browns" TargetMode="External"/><Relationship Id="rId122" Type="http://schemas.openxmlformats.org/officeDocument/2006/relationships/hyperlink" Target="http://www.espn.com/nfl/boxscore/_/gameId/401326466" TargetMode="External"/><Relationship Id="rId164" Type="http://schemas.openxmlformats.org/officeDocument/2006/relationships/hyperlink" Target="http://www.espn.com/nfl/boxscore/_/gameId/401326461" TargetMode="External"/><Relationship Id="rId371" Type="http://schemas.openxmlformats.org/officeDocument/2006/relationships/hyperlink" Target="http://www.espn.com/nfl/boxscore/_/gameId/401326421" TargetMode="External"/><Relationship Id="rId427" Type="http://schemas.openxmlformats.org/officeDocument/2006/relationships/hyperlink" Target="http://www.espn.com/nfl/boxscore/_/gameId/401326422" TargetMode="External"/><Relationship Id="rId26" Type="http://schemas.openxmlformats.org/officeDocument/2006/relationships/hyperlink" Target="http://www.espn.com/nfl/boxscore/_/gameId/401326500" TargetMode="External"/><Relationship Id="rId231" Type="http://schemas.openxmlformats.org/officeDocument/2006/relationships/hyperlink" Target="http://www.espn.com/nfl/boxscore/_/gameId/401326419" TargetMode="External"/><Relationship Id="rId273" Type="http://schemas.openxmlformats.org/officeDocument/2006/relationships/hyperlink" Target="http://www.espn.com/nfl/boxscore/_/gameId/401326325" TargetMode="External"/><Relationship Id="rId329" Type="http://schemas.openxmlformats.org/officeDocument/2006/relationships/hyperlink" Target="http://www.espn.com/nfl/boxscore/_/gameId/401326416" TargetMode="External"/><Relationship Id="rId68" Type="http://schemas.openxmlformats.org/officeDocument/2006/relationships/hyperlink" Target="http://www.espn.com/nfl/boxscore/_/gameId/401326481" TargetMode="External"/><Relationship Id="rId133" Type="http://schemas.openxmlformats.org/officeDocument/2006/relationships/hyperlink" Target="http://www.espn.com/nfl/boxscore/_/gameId/401326419" TargetMode="External"/><Relationship Id="rId175" Type="http://schemas.openxmlformats.org/officeDocument/2006/relationships/hyperlink" Target="http://www.espn.com/nfl/boxscore/_/gameId/401326415" TargetMode="External"/><Relationship Id="rId340" Type="http://schemas.openxmlformats.org/officeDocument/2006/relationships/hyperlink" Target="http://www.espn.com/nfl/boxscore/_/gameId/401326373" TargetMode="External"/><Relationship Id="rId200" Type="http://schemas.openxmlformats.org/officeDocument/2006/relationships/hyperlink" Target="http://www.espn.com/nfl/boxscore/_/gameId/401326367" TargetMode="External"/><Relationship Id="rId382" Type="http://schemas.openxmlformats.org/officeDocument/2006/relationships/hyperlink" Target="http://www.espn.com/nfl/boxscore/_/gameId/401326377" TargetMode="External"/><Relationship Id="rId438" Type="http://schemas.openxmlformats.org/officeDocument/2006/relationships/hyperlink" Target="http://www.espn.com/nfl/boxscore/_/gameId/401326364" TargetMode="External"/><Relationship Id="rId242" Type="http://schemas.openxmlformats.org/officeDocument/2006/relationships/hyperlink" Target="http://www.espn.com/nfl/boxscore/_/gameId/401326375" TargetMode="External"/><Relationship Id="rId284" Type="http://schemas.openxmlformats.org/officeDocument/2006/relationships/hyperlink" Target="http://www.espn.com/nfl/boxscore/_/gameId/401326376" TargetMode="External"/><Relationship Id="rId37" Type="http://schemas.openxmlformats.org/officeDocument/2006/relationships/hyperlink" Target="http://www.espn.com/nfl/boxscore/_/gameId/401326452" TargetMode="External"/><Relationship Id="rId79" Type="http://schemas.openxmlformats.org/officeDocument/2006/relationships/hyperlink" Target="http://www.espn.com/nfl/boxscore/_/gameId/401326439" TargetMode="External"/><Relationship Id="rId102" Type="http://schemas.openxmlformats.org/officeDocument/2006/relationships/hyperlink" Target="http://www.espn.com/nfl/boxscore/_/gameId/401326365" TargetMode="External"/><Relationship Id="rId144" Type="http://schemas.openxmlformats.org/officeDocument/2006/relationships/hyperlink" Target="http://www.espn.com/nfl/boxscore/_/gameId/401326366" TargetMode="External"/><Relationship Id="rId90" Type="http://schemas.openxmlformats.org/officeDocument/2006/relationships/hyperlink" Target="http://www.espn.com/nfl/boxscore/_/gameId/401326397" TargetMode="External"/><Relationship Id="rId186" Type="http://schemas.openxmlformats.org/officeDocument/2006/relationships/hyperlink" Target="http://www.espn.com/nfl/boxscore/_/gameId/401326372" TargetMode="External"/><Relationship Id="rId351" Type="http://schemas.openxmlformats.org/officeDocument/2006/relationships/hyperlink" Target="http://www.espn.com/nfl/team/_/name/phi/philadelphia-eagles" TargetMode="External"/><Relationship Id="rId393" Type="http://schemas.openxmlformats.org/officeDocument/2006/relationships/hyperlink" Target="http://www.espn.com/nfl/team/_/name/sea/seattle-seahawks" TargetMode="External"/><Relationship Id="rId407" Type="http://schemas.openxmlformats.org/officeDocument/2006/relationships/hyperlink" Target="http://www.espn.com/nfl/team/_/name/tb/tampa-bay-buccaneers" TargetMode="External"/><Relationship Id="rId211" Type="http://schemas.openxmlformats.org/officeDocument/2006/relationships/hyperlink" Target="http://www.espn.com/nfl/team/_/name/kc/kansas-city-chiefs" TargetMode="External"/><Relationship Id="rId253" Type="http://schemas.openxmlformats.org/officeDocument/2006/relationships/hyperlink" Target="http://www.espn.com/nfl/team/_/name/lac/los-angeles-chargers" TargetMode="External"/><Relationship Id="rId295" Type="http://schemas.openxmlformats.org/officeDocument/2006/relationships/hyperlink" Target="http://www.espn.com/nfl/team/_/name/ne/new-england-patriots" TargetMode="External"/><Relationship Id="rId309" Type="http://schemas.openxmlformats.org/officeDocument/2006/relationships/hyperlink" Target="http://www.espn.com/nfl/team/_/name/no/new-orleans-saints" TargetMode="External"/><Relationship Id="rId48" Type="http://schemas.openxmlformats.org/officeDocument/2006/relationships/hyperlink" Target="http://www.espn.com/nfl/boxscore/_/gameId/401326408" TargetMode="External"/><Relationship Id="rId113" Type="http://schemas.openxmlformats.org/officeDocument/2006/relationships/hyperlink" Target="http://www.espn.com/nfl/team/_/name/dal/dallas-cowboys" TargetMode="External"/><Relationship Id="rId320" Type="http://schemas.openxmlformats.org/officeDocument/2006/relationships/hyperlink" Target="http://www.espn.com/nfl/boxscore/_/gameId/401326496" TargetMode="External"/><Relationship Id="rId155" Type="http://schemas.openxmlformats.org/officeDocument/2006/relationships/hyperlink" Target="http://www.espn.com/nfl/team/_/name/gb/green-bay-packers" TargetMode="External"/><Relationship Id="rId197" Type="http://schemas.openxmlformats.org/officeDocument/2006/relationships/hyperlink" Target="http://www.espn.com/nfl/team/_/name/jax/jacksonville-jaguars" TargetMode="External"/><Relationship Id="rId362" Type="http://schemas.openxmlformats.org/officeDocument/2006/relationships/hyperlink" Target="http://www.espn.com/nfl/boxscore/_/gameId/401326487" TargetMode="External"/><Relationship Id="rId418" Type="http://schemas.openxmlformats.org/officeDocument/2006/relationships/hyperlink" Target="http://www.espn.com/nfl/boxscore/_/gameId/401326499" TargetMode="External"/><Relationship Id="rId222" Type="http://schemas.openxmlformats.org/officeDocument/2006/relationships/hyperlink" Target="http://www.espn.com/nfl/boxscore/_/gameId/401326490" TargetMode="External"/><Relationship Id="rId264" Type="http://schemas.openxmlformats.org/officeDocument/2006/relationships/hyperlink" Target="http://www.espn.com/nfl/boxscore/_/gameId/401326504" TargetMode="External"/><Relationship Id="rId17" Type="http://schemas.openxmlformats.org/officeDocument/2006/relationships/hyperlink" Target="http://www.espn.com/nfl/boxscore/_/gameId/401326358" TargetMode="External"/><Relationship Id="rId59" Type="http://schemas.openxmlformats.org/officeDocument/2006/relationships/hyperlink" Target="http://www.espn.com/nfl/boxscore/_/gameId/401326128" TargetMode="External"/><Relationship Id="rId124" Type="http://schemas.openxmlformats.org/officeDocument/2006/relationships/hyperlink" Target="http://www.espn.com/nfl/boxscore/_/gameId/401326495" TargetMode="External"/><Relationship Id="rId70" Type="http://schemas.openxmlformats.org/officeDocument/2006/relationships/hyperlink" Target="http://www.espn.com/nfl/boxscore/_/gameId/401326524" TargetMode="External"/><Relationship Id="rId166" Type="http://schemas.openxmlformats.org/officeDocument/2006/relationships/hyperlink" Target="http://www.espn.com/nfl/boxscore/_/gameId/401326485" TargetMode="External"/><Relationship Id="rId331" Type="http://schemas.openxmlformats.org/officeDocument/2006/relationships/hyperlink" Target="http://www.espn.com/nfl/boxscore/_/gameId/401326450" TargetMode="External"/><Relationship Id="rId373" Type="http://schemas.openxmlformats.org/officeDocument/2006/relationships/hyperlink" Target="http://www.espn.com/nfl/boxscore/_/gameId/401326464" TargetMode="External"/><Relationship Id="rId429" Type="http://schemas.openxmlformats.org/officeDocument/2006/relationships/hyperlink" Target="http://www.espn.com/nfl/boxscore/_/gameId/401326443" TargetMode="External"/><Relationship Id="rId1" Type="http://schemas.openxmlformats.org/officeDocument/2006/relationships/hyperlink" Target="http://www.espn.com/nfl/team/_/name/ari/arizona-cardinals" TargetMode="External"/><Relationship Id="rId233" Type="http://schemas.openxmlformats.org/officeDocument/2006/relationships/hyperlink" Target="http://www.espn.com/nfl/boxscore/_/gameId/401326459" TargetMode="External"/><Relationship Id="rId440" Type="http://schemas.openxmlformats.org/officeDocument/2006/relationships/hyperlink" Target="http://www.espn.com/nfl/boxscore/_/gameId/401326403" TargetMode="External"/><Relationship Id="rId28" Type="http://schemas.openxmlformats.org/officeDocument/2006/relationships/hyperlink" Target="http://www.espn.com/nfl/boxscore/_/gameId/401326524" TargetMode="External"/><Relationship Id="rId275" Type="http://schemas.openxmlformats.org/officeDocument/2006/relationships/hyperlink" Target="http://www.espn.com/nfl/boxscore/_/gameId/401326438" TargetMode="External"/><Relationship Id="rId300" Type="http://schemas.openxmlformats.org/officeDocument/2006/relationships/hyperlink" Target="http://www.espn.com/nfl/boxscore/_/gameId/401326398" TargetMode="External"/><Relationship Id="rId81" Type="http://schemas.openxmlformats.org/officeDocument/2006/relationships/hyperlink" Target="http://www.espn.com/nfl/boxscore/_/gameId/401326482" TargetMode="External"/><Relationship Id="rId135" Type="http://schemas.openxmlformats.org/officeDocument/2006/relationships/hyperlink" Target="http://www.espn.com/nfl/boxscore/_/gameId/401326447" TargetMode="External"/><Relationship Id="rId177" Type="http://schemas.openxmlformats.org/officeDocument/2006/relationships/hyperlink" Target="http://www.espn.com/nfl/boxscore/_/gameId/401326442" TargetMode="External"/><Relationship Id="rId342" Type="http://schemas.openxmlformats.org/officeDocument/2006/relationships/hyperlink" Target="http://www.espn.com/nfl/boxscore/_/gameId/401326324" TargetMode="External"/><Relationship Id="rId384" Type="http://schemas.openxmlformats.org/officeDocument/2006/relationships/hyperlink" Target="http://www.espn.com/nfl/boxscore/_/gameId/401326406" TargetMode="External"/><Relationship Id="rId202" Type="http://schemas.openxmlformats.org/officeDocument/2006/relationships/hyperlink" Target="http://www.espn.com/nfl/boxscore/_/gameId/401326399" TargetMode="External"/><Relationship Id="rId244" Type="http://schemas.openxmlformats.org/officeDocument/2006/relationships/hyperlink" Target="http://www.espn.com/nfl/boxscore/_/gameId/40132639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D35D2-3743-894C-9418-956A90CF41FF}">
  <sheetPr codeName="Sheet1"/>
  <dimension ref="A1:R65"/>
  <sheetViews>
    <sheetView workbookViewId="0">
      <selection sqref="A1:P65"/>
    </sheetView>
  </sheetViews>
  <sheetFormatPr baseColWidth="10" defaultRowHeight="16" x14ac:dyDescent="0.2"/>
  <sheetData>
    <row r="1" spans="1:18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R1" s="33" t="s">
        <v>216</v>
      </c>
    </row>
    <row r="2" spans="1:18" x14ac:dyDescent="0.2">
      <c r="A2" s="2"/>
      <c r="B2" s="40">
        <v>261</v>
      </c>
      <c r="C2" s="40">
        <v>164</v>
      </c>
      <c r="D2" s="40">
        <v>62.8</v>
      </c>
      <c r="E2" s="40">
        <v>8.1</v>
      </c>
      <c r="F2" s="40">
        <v>2108</v>
      </c>
      <c r="G2" s="40">
        <v>11</v>
      </c>
      <c r="H2" s="40">
        <v>6</v>
      </c>
      <c r="I2" s="40">
        <v>92.6</v>
      </c>
      <c r="J2" s="40">
        <v>98</v>
      </c>
      <c r="K2" s="40">
        <v>37.5</v>
      </c>
      <c r="L2" s="40">
        <v>24</v>
      </c>
      <c r="M2" s="40">
        <v>5</v>
      </c>
      <c r="N2" s="40">
        <v>83</v>
      </c>
      <c r="O2" s="40">
        <v>16</v>
      </c>
      <c r="P2" s="40">
        <v>88</v>
      </c>
    </row>
    <row r="3" spans="1:18" x14ac:dyDescent="0.2">
      <c r="A3" s="2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</row>
    <row r="4" spans="1:18" x14ac:dyDescent="0.2">
      <c r="A4" s="2"/>
      <c r="B4" s="40">
        <v>237</v>
      </c>
      <c r="C4" s="40">
        <v>148</v>
      </c>
      <c r="D4" s="40">
        <v>62.4</v>
      </c>
      <c r="E4" s="40">
        <v>6.5</v>
      </c>
      <c r="F4" s="40">
        <v>1552</v>
      </c>
      <c r="G4" s="40">
        <v>5</v>
      </c>
      <c r="H4" s="40">
        <v>9</v>
      </c>
      <c r="I4" s="40">
        <v>72.599999999999994</v>
      </c>
      <c r="J4" s="40">
        <v>77</v>
      </c>
      <c r="K4" s="40">
        <v>32.5</v>
      </c>
      <c r="L4" s="40">
        <v>20</v>
      </c>
      <c r="M4" s="40">
        <v>2</v>
      </c>
      <c r="N4" s="40">
        <v>64</v>
      </c>
      <c r="O4" s="40">
        <v>33</v>
      </c>
      <c r="P4" s="40">
        <v>255</v>
      </c>
    </row>
    <row r="5" spans="1:18" x14ac:dyDescent="0.2">
      <c r="A5" s="2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</row>
    <row r="6" spans="1:18" x14ac:dyDescent="0.2">
      <c r="A6" s="2"/>
      <c r="B6" s="40">
        <v>290</v>
      </c>
      <c r="C6" s="40">
        <v>198</v>
      </c>
      <c r="D6" s="40">
        <v>68.3</v>
      </c>
      <c r="E6" s="40">
        <v>8.8000000000000007</v>
      </c>
      <c r="F6" s="40">
        <v>2556</v>
      </c>
      <c r="G6" s="40">
        <v>21</v>
      </c>
      <c r="H6" s="40">
        <v>11</v>
      </c>
      <c r="I6" s="40">
        <v>104</v>
      </c>
      <c r="J6" s="40">
        <v>110</v>
      </c>
      <c r="K6" s="40">
        <v>37.9</v>
      </c>
      <c r="L6" s="40">
        <v>35</v>
      </c>
      <c r="M6" s="40">
        <v>10</v>
      </c>
      <c r="N6" s="40" t="s">
        <v>233</v>
      </c>
      <c r="O6" s="40">
        <v>25</v>
      </c>
      <c r="P6" s="40">
        <v>177</v>
      </c>
    </row>
    <row r="7" spans="1:18" x14ac:dyDescent="0.2">
      <c r="A7" s="2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</row>
    <row r="8" spans="1:18" x14ac:dyDescent="0.2">
      <c r="A8" s="2"/>
      <c r="B8" s="40">
        <v>322</v>
      </c>
      <c r="C8" s="40">
        <v>211</v>
      </c>
      <c r="D8" s="40">
        <v>65.5</v>
      </c>
      <c r="E8" s="40">
        <v>7</v>
      </c>
      <c r="F8" s="40">
        <v>2245</v>
      </c>
      <c r="G8" s="40">
        <v>17</v>
      </c>
      <c r="H8" s="40">
        <v>5</v>
      </c>
      <c r="I8" s="40">
        <v>96.9</v>
      </c>
      <c r="J8" s="40">
        <v>117</v>
      </c>
      <c r="K8" s="40">
        <v>36.299999999999997</v>
      </c>
      <c r="L8" s="40">
        <v>27</v>
      </c>
      <c r="M8" s="40">
        <v>5</v>
      </c>
      <c r="N8" s="40">
        <v>61</v>
      </c>
      <c r="O8" s="40">
        <v>12</v>
      </c>
      <c r="P8" s="40">
        <v>82</v>
      </c>
    </row>
    <row r="9" spans="1:18" x14ac:dyDescent="0.2">
      <c r="A9" s="2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</row>
    <row r="10" spans="1:18" x14ac:dyDescent="0.2">
      <c r="A10" s="2"/>
      <c r="B10" s="40">
        <v>306</v>
      </c>
      <c r="C10" s="40">
        <v>212</v>
      </c>
      <c r="D10" s="40">
        <v>69.3</v>
      </c>
      <c r="E10" s="40">
        <v>7.4</v>
      </c>
      <c r="F10" s="40">
        <v>2276</v>
      </c>
      <c r="G10" s="40">
        <v>14</v>
      </c>
      <c r="H10" s="40">
        <v>6</v>
      </c>
      <c r="I10" s="40">
        <v>97.9</v>
      </c>
      <c r="J10" s="40">
        <v>109</v>
      </c>
      <c r="K10" s="40">
        <v>35.6</v>
      </c>
      <c r="L10" s="40">
        <v>26</v>
      </c>
      <c r="M10" s="40">
        <v>3</v>
      </c>
      <c r="N10" s="40">
        <v>55</v>
      </c>
      <c r="O10" s="40">
        <v>29</v>
      </c>
      <c r="P10" s="40">
        <v>182</v>
      </c>
    </row>
    <row r="11" spans="1:18" x14ac:dyDescent="0.2">
      <c r="A11" s="2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</row>
    <row r="12" spans="1:18" x14ac:dyDescent="0.2">
      <c r="A12" s="2"/>
      <c r="B12" s="40">
        <v>261</v>
      </c>
      <c r="C12" s="40">
        <v>172</v>
      </c>
      <c r="D12" s="40">
        <v>65.900000000000006</v>
      </c>
      <c r="E12" s="40">
        <v>8.1</v>
      </c>
      <c r="F12" s="40">
        <v>2122</v>
      </c>
      <c r="G12" s="40">
        <v>9</v>
      </c>
      <c r="H12" s="40">
        <v>3</v>
      </c>
      <c r="I12" s="40">
        <v>97.6</v>
      </c>
      <c r="J12" s="40">
        <v>97</v>
      </c>
      <c r="K12" s="40">
        <v>37.200000000000003</v>
      </c>
      <c r="L12" s="40">
        <v>27</v>
      </c>
      <c r="M12" s="40">
        <v>7</v>
      </c>
      <c r="N12" s="40" t="s">
        <v>24</v>
      </c>
      <c r="O12" s="40">
        <v>25</v>
      </c>
      <c r="P12" s="40">
        <v>143</v>
      </c>
    </row>
    <row r="13" spans="1:18" x14ac:dyDescent="0.2">
      <c r="A13" s="2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</row>
    <row r="14" spans="1:18" x14ac:dyDescent="0.2">
      <c r="A14" s="2"/>
      <c r="B14" s="40">
        <v>350</v>
      </c>
      <c r="C14" s="40">
        <v>236</v>
      </c>
      <c r="D14" s="40">
        <v>67.400000000000006</v>
      </c>
      <c r="E14" s="40">
        <v>7.7</v>
      </c>
      <c r="F14" s="40">
        <v>2706</v>
      </c>
      <c r="G14" s="40">
        <v>25</v>
      </c>
      <c r="H14" s="40">
        <v>5</v>
      </c>
      <c r="I14" s="40">
        <v>108.3</v>
      </c>
      <c r="J14" s="40">
        <v>141</v>
      </c>
      <c r="K14" s="40">
        <v>40.299999999999997</v>
      </c>
      <c r="L14" s="40">
        <v>40</v>
      </c>
      <c r="M14" s="40">
        <v>6</v>
      </c>
      <c r="N14" s="40" t="s">
        <v>26</v>
      </c>
      <c r="O14" s="40">
        <v>12</v>
      </c>
      <c r="P14" s="40">
        <v>86</v>
      </c>
    </row>
    <row r="15" spans="1:18" x14ac:dyDescent="0.2">
      <c r="A15" s="2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</row>
    <row r="16" spans="1:18" x14ac:dyDescent="0.2">
      <c r="A16" s="2"/>
      <c r="B16" s="40">
        <v>283</v>
      </c>
      <c r="C16" s="40">
        <v>209</v>
      </c>
      <c r="D16" s="40">
        <v>73.900000000000006</v>
      </c>
      <c r="E16" s="40">
        <v>9</v>
      </c>
      <c r="F16" s="40">
        <v>2558</v>
      </c>
      <c r="G16" s="40">
        <v>18</v>
      </c>
      <c r="H16" s="40">
        <v>7</v>
      </c>
      <c r="I16" s="40">
        <v>112.2</v>
      </c>
      <c r="J16" s="40">
        <v>114</v>
      </c>
      <c r="K16" s="40">
        <v>40.299999999999997</v>
      </c>
      <c r="L16" s="40">
        <v>37</v>
      </c>
      <c r="M16" s="40">
        <v>7</v>
      </c>
      <c r="N16" s="40" t="s">
        <v>28</v>
      </c>
      <c r="O16" s="40">
        <v>20</v>
      </c>
      <c r="P16" s="40">
        <v>165</v>
      </c>
    </row>
    <row r="17" spans="1:16" x14ac:dyDescent="0.2">
      <c r="A17" s="2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</row>
    <row r="18" spans="1:16" x14ac:dyDescent="0.2">
      <c r="A18" s="2"/>
      <c r="B18" s="40">
        <v>320</v>
      </c>
      <c r="C18" s="40">
        <v>211</v>
      </c>
      <c r="D18" s="40">
        <v>65.900000000000006</v>
      </c>
      <c r="E18" s="40">
        <v>7.3</v>
      </c>
      <c r="F18" s="40">
        <v>2350</v>
      </c>
      <c r="G18" s="40">
        <v>18</v>
      </c>
      <c r="H18" s="40">
        <v>6</v>
      </c>
      <c r="I18" s="40">
        <v>98.6</v>
      </c>
      <c r="J18" s="40">
        <v>116</v>
      </c>
      <c r="K18" s="40">
        <v>36.299999999999997</v>
      </c>
      <c r="L18" s="40">
        <v>28</v>
      </c>
      <c r="M18" s="40">
        <v>6</v>
      </c>
      <c r="N18" s="40" t="s">
        <v>30</v>
      </c>
      <c r="O18" s="40">
        <v>14</v>
      </c>
      <c r="P18" s="40">
        <v>91</v>
      </c>
    </row>
    <row r="19" spans="1:16" x14ac:dyDescent="0.2">
      <c r="A19" s="2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</row>
    <row r="20" spans="1:16" x14ac:dyDescent="0.2">
      <c r="A20" s="2"/>
      <c r="B20" s="40">
        <v>378</v>
      </c>
      <c r="C20" s="40">
        <v>247</v>
      </c>
      <c r="D20" s="40">
        <v>65.3</v>
      </c>
      <c r="E20" s="40">
        <v>6.9</v>
      </c>
      <c r="F20" s="40">
        <v>2616</v>
      </c>
      <c r="G20" s="40">
        <v>20</v>
      </c>
      <c r="H20" s="40">
        <v>10</v>
      </c>
      <c r="I20" s="40">
        <v>92</v>
      </c>
      <c r="J20" s="40">
        <v>147</v>
      </c>
      <c r="K20" s="40">
        <v>38.9</v>
      </c>
      <c r="L20" s="40">
        <v>27</v>
      </c>
      <c r="M20" s="40">
        <v>5</v>
      </c>
      <c r="N20" s="40" t="s">
        <v>32</v>
      </c>
      <c r="O20" s="40">
        <v>17</v>
      </c>
      <c r="P20" s="40">
        <v>87</v>
      </c>
    </row>
    <row r="21" spans="1:16" x14ac:dyDescent="0.2">
      <c r="A21" s="2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</row>
    <row r="22" spans="1:16" x14ac:dyDescent="0.2">
      <c r="A22" s="2"/>
      <c r="B22" s="40">
        <v>305</v>
      </c>
      <c r="C22" s="40">
        <v>192</v>
      </c>
      <c r="D22" s="40">
        <v>63</v>
      </c>
      <c r="E22" s="40">
        <v>7.3</v>
      </c>
      <c r="F22" s="40">
        <v>2223</v>
      </c>
      <c r="G22" s="40">
        <v>17</v>
      </c>
      <c r="H22" s="40">
        <v>4</v>
      </c>
      <c r="I22" s="40">
        <v>98</v>
      </c>
      <c r="J22" s="40">
        <v>101</v>
      </c>
      <c r="K22" s="40">
        <v>33.1</v>
      </c>
      <c r="L22" s="40">
        <v>28</v>
      </c>
      <c r="M22" s="40">
        <v>7</v>
      </c>
      <c r="N22" s="40" t="s">
        <v>34</v>
      </c>
      <c r="O22" s="40">
        <v>17</v>
      </c>
      <c r="P22" s="40">
        <v>120</v>
      </c>
    </row>
    <row r="23" spans="1:16" x14ac:dyDescent="0.2">
      <c r="A23" s="2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  <c r="P23" s="40"/>
    </row>
    <row r="24" spans="1:16" x14ac:dyDescent="0.2">
      <c r="A24" s="2"/>
      <c r="B24" s="40">
        <v>297</v>
      </c>
      <c r="C24" s="40">
        <v>203</v>
      </c>
      <c r="D24" s="40">
        <v>68.400000000000006</v>
      </c>
      <c r="E24" s="40">
        <v>8.1999999999999993</v>
      </c>
      <c r="F24" s="40">
        <v>2427</v>
      </c>
      <c r="G24" s="40">
        <v>20</v>
      </c>
      <c r="H24" s="40">
        <v>6</v>
      </c>
      <c r="I24" s="40">
        <v>107.1</v>
      </c>
      <c r="J24" s="40">
        <v>124</v>
      </c>
      <c r="K24" s="40">
        <v>41.8</v>
      </c>
      <c r="L24" s="40">
        <v>35</v>
      </c>
      <c r="M24" s="40">
        <v>4</v>
      </c>
      <c r="N24" s="40" t="s">
        <v>41</v>
      </c>
      <c r="O24" s="40">
        <v>14</v>
      </c>
      <c r="P24" s="40">
        <v>95</v>
      </c>
    </row>
    <row r="25" spans="1:16" x14ac:dyDescent="0.2">
      <c r="A25" s="2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</row>
    <row r="26" spans="1:16" x14ac:dyDescent="0.2">
      <c r="A26" s="2"/>
      <c r="B26" s="40">
        <v>359</v>
      </c>
      <c r="C26" s="40">
        <v>233</v>
      </c>
      <c r="D26" s="40">
        <v>64.900000000000006</v>
      </c>
      <c r="E26" s="40">
        <v>6</v>
      </c>
      <c r="F26" s="40">
        <v>2167</v>
      </c>
      <c r="G26" s="40">
        <v>12</v>
      </c>
      <c r="H26" s="40">
        <v>9</v>
      </c>
      <c r="I26" s="40">
        <v>82</v>
      </c>
      <c r="J26" s="40">
        <v>115</v>
      </c>
      <c r="K26" s="40">
        <v>32</v>
      </c>
      <c r="L26" s="40">
        <v>26</v>
      </c>
      <c r="M26" s="40">
        <v>2</v>
      </c>
      <c r="N26" s="40">
        <v>42</v>
      </c>
      <c r="O26" s="40">
        <v>23</v>
      </c>
      <c r="P26" s="40">
        <v>166</v>
      </c>
    </row>
    <row r="27" spans="1:16" x14ac:dyDescent="0.2">
      <c r="A27" s="2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  <c r="P27" s="40"/>
    </row>
    <row r="28" spans="1:16" x14ac:dyDescent="0.2">
      <c r="A28" s="2"/>
      <c r="B28" s="40">
        <v>276</v>
      </c>
      <c r="C28" s="40">
        <v>170</v>
      </c>
      <c r="D28" s="40">
        <v>61.6</v>
      </c>
      <c r="E28" s="40">
        <v>7.2</v>
      </c>
      <c r="F28" s="40">
        <v>1992</v>
      </c>
      <c r="G28" s="40">
        <v>11</v>
      </c>
      <c r="H28" s="40">
        <v>4</v>
      </c>
      <c r="I28" s="40">
        <v>90.7</v>
      </c>
      <c r="J28" s="40">
        <v>88</v>
      </c>
      <c r="K28" s="40">
        <v>31.9</v>
      </c>
      <c r="L28" s="40">
        <v>29</v>
      </c>
      <c r="M28" s="40">
        <v>3</v>
      </c>
      <c r="N28" s="40">
        <v>91</v>
      </c>
      <c r="O28" s="40">
        <v>15</v>
      </c>
      <c r="P28" s="40">
        <v>106</v>
      </c>
    </row>
    <row r="29" spans="1:16" x14ac:dyDescent="0.2">
      <c r="A29" s="2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  <c r="P29" s="40"/>
    </row>
    <row r="30" spans="1:16" x14ac:dyDescent="0.2">
      <c r="A30" s="2"/>
      <c r="B30" s="40">
        <v>304</v>
      </c>
      <c r="C30" s="40">
        <v>209</v>
      </c>
      <c r="D30" s="40">
        <v>68.8</v>
      </c>
      <c r="E30" s="40">
        <v>7.1</v>
      </c>
      <c r="F30" s="40">
        <v>2157</v>
      </c>
      <c r="G30" s="40">
        <v>15</v>
      </c>
      <c r="H30" s="40">
        <v>6</v>
      </c>
      <c r="I30" s="40">
        <v>97.2</v>
      </c>
      <c r="J30" s="40">
        <v>109</v>
      </c>
      <c r="K30" s="40">
        <v>35.9</v>
      </c>
      <c r="L30" s="40">
        <v>25</v>
      </c>
      <c r="M30" s="40">
        <v>4</v>
      </c>
      <c r="N30" s="40">
        <v>64</v>
      </c>
      <c r="O30" s="40">
        <v>14</v>
      </c>
      <c r="P30" s="40">
        <v>96</v>
      </c>
    </row>
    <row r="31" spans="1:16" x14ac:dyDescent="0.2">
      <c r="A31" s="2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</row>
    <row r="32" spans="1:16" x14ac:dyDescent="0.2">
      <c r="A32" s="2"/>
      <c r="B32" s="40">
        <v>280</v>
      </c>
      <c r="C32" s="40">
        <v>178</v>
      </c>
      <c r="D32" s="40">
        <v>63.6</v>
      </c>
      <c r="E32" s="40">
        <v>6.9</v>
      </c>
      <c r="F32" s="40">
        <v>1941</v>
      </c>
      <c r="G32" s="40">
        <v>11</v>
      </c>
      <c r="H32" s="40">
        <v>9</v>
      </c>
      <c r="I32" s="40">
        <v>83.6</v>
      </c>
      <c r="J32" s="40">
        <v>91</v>
      </c>
      <c r="K32" s="40">
        <v>32.5</v>
      </c>
      <c r="L32" s="40">
        <v>24</v>
      </c>
      <c r="M32" s="40">
        <v>3</v>
      </c>
      <c r="N32" s="40" t="s">
        <v>41</v>
      </c>
      <c r="O32" s="40">
        <v>15</v>
      </c>
      <c r="P32" s="40">
        <v>97</v>
      </c>
    </row>
    <row r="33" spans="1:16" x14ac:dyDescent="0.2">
      <c r="A33" s="2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</row>
    <row r="34" spans="1:16" x14ac:dyDescent="0.2">
      <c r="A34" s="2"/>
      <c r="B34" s="40">
        <v>321</v>
      </c>
      <c r="C34" s="40">
        <v>208</v>
      </c>
      <c r="D34" s="40">
        <v>64.8</v>
      </c>
      <c r="E34" s="40">
        <v>7.1</v>
      </c>
      <c r="F34" s="40">
        <v>2290</v>
      </c>
      <c r="G34" s="40">
        <v>9</v>
      </c>
      <c r="H34" s="40">
        <v>7</v>
      </c>
      <c r="I34" s="40">
        <v>86.1</v>
      </c>
      <c r="J34" s="40">
        <v>109</v>
      </c>
      <c r="K34" s="40">
        <v>34</v>
      </c>
      <c r="L34" s="40">
        <v>23</v>
      </c>
      <c r="M34" s="40">
        <v>5</v>
      </c>
      <c r="N34" s="40" t="s">
        <v>43</v>
      </c>
      <c r="O34" s="40">
        <v>20</v>
      </c>
      <c r="P34" s="40">
        <v>140</v>
      </c>
    </row>
    <row r="35" spans="1:16" x14ac:dyDescent="0.2">
      <c r="A35" s="2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</row>
    <row r="36" spans="1:16" x14ac:dyDescent="0.2">
      <c r="A36" s="2"/>
      <c r="B36" s="40">
        <v>298</v>
      </c>
      <c r="C36" s="40">
        <v>178</v>
      </c>
      <c r="D36" s="40">
        <v>59.7</v>
      </c>
      <c r="E36" s="40">
        <v>6.2</v>
      </c>
      <c r="F36" s="40">
        <v>1854</v>
      </c>
      <c r="G36" s="40">
        <v>8</v>
      </c>
      <c r="H36" s="40">
        <v>9</v>
      </c>
      <c r="I36" s="40">
        <v>74.099999999999994</v>
      </c>
      <c r="J36" s="40">
        <v>87</v>
      </c>
      <c r="K36" s="40">
        <v>29.2</v>
      </c>
      <c r="L36" s="40">
        <v>23</v>
      </c>
      <c r="M36" s="40">
        <v>3</v>
      </c>
      <c r="N36" s="40">
        <v>58</v>
      </c>
      <c r="O36" s="40">
        <v>13</v>
      </c>
      <c r="P36" s="40">
        <v>83</v>
      </c>
    </row>
    <row r="37" spans="1:16" x14ac:dyDescent="0.2">
      <c r="A37" s="2" t="s">
        <v>44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</row>
    <row r="38" spans="1:16" x14ac:dyDescent="0.2">
      <c r="A38" s="2"/>
      <c r="B38" s="40">
        <v>314</v>
      </c>
      <c r="C38" s="40">
        <v>197</v>
      </c>
      <c r="D38" s="40">
        <v>62.7</v>
      </c>
      <c r="E38" s="40">
        <v>7</v>
      </c>
      <c r="F38" s="40">
        <v>2204</v>
      </c>
      <c r="G38" s="40">
        <v>12</v>
      </c>
      <c r="H38" s="40">
        <v>14</v>
      </c>
      <c r="I38" s="40">
        <v>77.8</v>
      </c>
      <c r="J38" s="40">
        <v>107</v>
      </c>
      <c r="K38" s="40">
        <v>34.1</v>
      </c>
      <c r="L38" s="40">
        <v>29</v>
      </c>
      <c r="M38" s="40">
        <v>3</v>
      </c>
      <c r="N38" s="40">
        <v>54</v>
      </c>
      <c r="O38" s="40">
        <v>24</v>
      </c>
      <c r="P38" s="40">
        <v>190</v>
      </c>
    </row>
    <row r="39" spans="1:16" x14ac:dyDescent="0.2">
      <c r="A39" s="2" t="s">
        <v>45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  <c r="P39" s="40"/>
    </row>
    <row r="40" spans="1:16" x14ac:dyDescent="0.2">
      <c r="A40" s="2"/>
      <c r="B40" s="40">
        <v>310</v>
      </c>
      <c r="C40" s="40">
        <v>207</v>
      </c>
      <c r="D40" s="40">
        <v>66.8</v>
      </c>
      <c r="E40" s="40">
        <v>6.5</v>
      </c>
      <c r="F40" s="40">
        <v>2012</v>
      </c>
      <c r="G40" s="40">
        <v>8</v>
      </c>
      <c r="H40" s="40">
        <v>6</v>
      </c>
      <c r="I40" s="40">
        <v>85.3</v>
      </c>
      <c r="J40" s="40">
        <v>103</v>
      </c>
      <c r="K40" s="40">
        <v>33.200000000000003</v>
      </c>
      <c r="L40" s="40">
        <v>25</v>
      </c>
      <c r="M40" s="40">
        <v>3</v>
      </c>
      <c r="N40" s="40" t="s">
        <v>234</v>
      </c>
      <c r="O40" s="40">
        <v>23</v>
      </c>
      <c r="P40" s="40">
        <v>188</v>
      </c>
    </row>
    <row r="41" spans="1:16" x14ac:dyDescent="0.2">
      <c r="A41" s="2" t="s">
        <v>46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</row>
    <row r="42" spans="1:16" x14ac:dyDescent="0.2">
      <c r="A42" s="2"/>
      <c r="B42" s="40">
        <v>299</v>
      </c>
      <c r="C42" s="40">
        <v>197</v>
      </c>
      <c r="D42" s="40">
        <v>65.900000000000006</v>
      </c>
      <c r="E42" s="40">
        <v>7.2</v>
      </c>
      <c r="F42" s="40">
        <v>2152</v>
      </c>
      <c r="G42" s="40">
        <v>18</v>
      </c>
      <c r="H42" s="40">
        <v>4</v>
      </c>
      <c r="I42" s="40">
        <v>101.5</v>
      </c>
      <c r="J42" s="40">
        <v>114</v>
      </c>
      <c r="K42" s="40">
        <v>38.1</v>
      </c>
      <c r="L42" s="40">
        <v>29</v>
      </c>
      <c r="M42" s="40">
        <v>5</v>
      </c>
      <c r="N42" s="40">
        <v>59</v>
      </c>
      <c r="O42" s="40">
        <v>19</v>
      </c>
      <c r="P42" s="40">
        <v>138</v>
      </c>
    </row>
    <row r="43" spans="1:16" x14ac:dyDescent="0.2">
      <c r="A43" s="2" t="s">
        <v>47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</row>
    <row r="44" spans="1:16" x14ac:dyDescent="0.2">
      <c r="A44" s="2"/>
      <c r="B44" s="40">
        <v>321</v>
      </c>
      <c r="C44" s="40">
        <v>185</v>
      </c>
      <c r="D44" s="40">
        <v>57.6</v>
      </c>
      <c r="E44" s="40">
        <v>6.3</v>
      </c>
      <c r="F44" s="40">
        <v>2019</v>
      </c>
      <c r="G44" s="40">
        <v>7</v>
      </c>
      <c r="H44" s="40">
        <v>11</v>
      </c>
      <c r="I44" s="40">
        <v>69.3</v>
      </c>
      <c r="J44" s="40">
        <v>100</v>
      </c>
      <c r="K44" s="40">
        <v>31.2</v>
      </c>
      <c r="L44" s="40">
        <v>26</v>
      </c>
      <c r="M44" s="40">
        <v>3</v>
      </c>
      <c r="N44" s="40" t="s">
        <v>49</v>
      </c>
      <c r="O44" s="40">
        <v>25</v>
      </c>
      <c r="P44" s="40">
        <v>145</v>
      </c>
    </row>
    <row r="45" spans="1:16" x14ac:dyDescent="0.2">
      <c r="A45" s="2" t="s">
        <v>48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  <c r="P45" s="40"/>
    </row>
    <row r="46" spans="1:16" x14ac:dyDescent="0.2">
      <c r="A46" s="2"/>
      <c r="B46" s="40">
        <v>307</v>
      </c>
      <c r="C46" s="40">
        <v>210</v>
      </c>
      <c r="D46" s="40">
        <v>68.400000000000006</v>
      </c>
      <c r="E46" s="40">
        <v>7.4</v>
      </c>
      <c r="F46" s="40">
        <v>2284</v>
      </c>
      <c r="G46" s="40">
        <v>11</v>
      </c>
      <c r="H46" s="40">
        <v>7</v>
      </c>
      <c r="I46" s="40">
        <v>92.5</v>
      </c>
      <c r="J46" s="40">
        <v>102</v>
      </c>
      <c r="K46" s="40">
        <v>33.200000000000003</v>
      </c>
      <c r="L46" s="40">
        <v>36</v>
      </c>
      <c r="M46" s="40">
        <v>4</v>
      </c>
      <c r="N46" s="40" t="s">
        <v>32</v>
      </c>
      <c r="O46" s="40">
        <v>17</v>
      </c>
      <c r="P46" s="40">
        <v>135</v>
      </c>
    </row>
    <row r="47" spans="1:16" x14ac:dyDescent="0.2">
      <c r="A47" s="2" t="s">
        <v>50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</row>
    <row r="48" spans="1:16" x14ac:dyDescent="0.2">
      <c r="A48" s="2"/>
      <c r="B48" s="40">
        <v>312</v>
      </c>
      <c r="C48" s="40">
        <v>210</v>
      </c>
      <c r="D48" s="40">
        <v>67.3</v>
      </c>
      <c r="E48" s="40">
        <v>8.1999999999999993</v>
      </c>
      <c r="F48" s="40">
        <v>2565</v>
      </c>
      <c r="G48" s="40">
        <v>13</v>
      </c>
      <c r="H48" s="40">
        <v>7</v>
      </c>
      <c r="I48" s="40">
        <v>97</v>
      </c>
      <c r="J48" s="40">
        <v>109</v>
      </c>
      <c r="K48" s="40">
        <v>34.9</v>
      </c>
      <c r="L48" s="40">
        <v>42</v>
      </c>
      <c r="M48" s="40">
        <v>6</v>
      </c>
      <c r="N48" s="40" t="s">
        <v>52</v>
      </c>
      <c r="O48" s="40">
        <v>18</v>
      </c>
      <c r="P48" s="40">
        <v>124</v>
      </c>
    </row>
    <row r="49" spans="1:16" x14ac:dyDescent="0.2">
      <c r="A49" s="2" t="s">
        <v>51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</row>
    <row r="50" spans="1:16" x14ac:dyDescent="0.2">
      <c r="A50" s="2"/>
      <c r="B50" s="40">
        <v>325</v>
      </c>
      <c r="C50" s="40">
        <v>220</v>
      </c>
      <c r="D50" s="40">
        <v>67.7</v>
      </c>
      <c r="E50" s="40">
        <v>8.5</v>
      </c>
      <c r="F50" s="40">
        <v>2776</v>
      </c>
      <c r="G50" s="40">
        <v>23</v>
      </c>
      <c r="H50" s="40">
        <v>7</v>
      </c>
      <c r="I50" s="40">
        <v>108.7</v>
      </c>
      <c r="J50" s="40">
        <v>137</v>
      </c>
      <c r="K50" s="40">
        <v>42.2</v>
      </c>
      <c r="L50" s="40">
        <v>38</v>
      </c>
      <c r="M50" s="40">
        <v>10</v>
      </c>
      <c r="N50" s="40" t="s">
        <v>32</v>
      </c>
      <c r="O50" s="40">
        <v>13</v>
      </c>
      <c r="P50" s="40">
        <v>109</v>
      </c>
    </row>
    <row r="51" spans="1:16" x14ac:dyDescent="0.2">
      <c r="A51" s="2" t="s">
        <v>53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  <c r="P51" s="40"/>
    </row>
    <row r="52" spans="1:16" x14ac:dyDescent="0.2">
      <c r="A52" s="2"/>
      <c r="B52" s="40">
        <v>277</v>
      </c>
      <c r="C52" s="40">
        <v>178</v>
      </c>
      <c r="D52" s="40">
        <v>64.3</v>
      </c>
      <c r="E52" s="40">
        <v>8.1</v>
      </c>
      <c r="F52" s="40">
        <v>2248</v>
      </c>
      <c r="G52" s="40">
        <v>13</v>
      </c>
      <c r="H52" s="40">
        <v>7</v>
      </c>
      <c r="I52" s="40">
        <v>94.6</v>
      </c>
      <c r="J52" s="40">
        <v>107</v>
      </c>
      <c r="K52" s="40">
        <v>38.6</v>
      </c>
      <c r="L52" s="40">
        <v>36</v>
      </c>
      <c r="M52" s="40">
        <v>5</v>
      </c>
      <c r="N52" s="40" t="s">
        <v>36</v>
      </c>
      <c r="O52" s="40">
        <v>24</v>
      </c>
      <c r="P52" s="40">
        <v>118</v>
      </c>
    </row>
    <row r="53" spans="1:16" x14ac:dyDescent="0.2">
      <c r="A53" s="2" t="s">
        <v>54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  <c r="P53" s="40"/>
    </row>
    <row r="54" spans="1:16" x14ac:dyDescent="0.2">
      <c r="A54" s="2"/>
      <c r="B54" s="40">
        <v>237</v>
      </c>
      <c r="C54" s="40">
        <v>141</v>
      </c>
      <c r="D54" s="40">
        <v>59.5</v>
      </c>
      <c r="E54" s="40">
        <v>6.8</v>
      </c>
      <c r="F54" s="40">
        <v>1623</v>
      </c>
      <c r="G54" s="40">
        <v>17</v>
      </c>
      <c r="H54" s="40">
        <v>4</v>
      </c>
      <c r="I54" s="40">
        <v>97.1</v>
      </c>
      <c r="J54" s="40">
        <v>85</v>
      </c>
      <c r="K54" s="40">
        <v>35.9</v>
      </c>
      <c r="L54" s="40">
        <v>15</v>
      </c>
      <c r="M54" s="40">
        <v>4</v>
      </c>
      <c r="N54" s="40" t="s">
        <v>30</v>
      </c>
      <c r="O54" s="40">
        <v>13</v>
      </c>
      <c r="P54" s="40">
        <v>90</v>
      </c>
    </row>
    <row r="55" spans="1:16" x14ac:dyDescent="0.2">
      <c r="A55" s="2" t="s">
        <v>55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  <c r="P55" s="40"/>
    </row>
    <row r="56" spans="1:16" x14ac:dyDescent="0.2">
      <c r="A56" s="2"/>
      <c r="B56" s="40">
        <v>220</v>
      </c>
      <c r="C56" s="40">
        <v>155</v>
      </c>
      <c r="D56" s="40">
        <v>70.5</v>
      </c>
      <c r="E56" s="40">
        <v>8.6</v>
      </c>
      <c r="F56" s="40">
        <v>1898</v>
      </c>
      <c r="G56" s="40">
        <v>15</v>
      </c>
      <c r="H56" s="40">
        <v>2</v>
      </c>
      <c r="I56" s="40">
        <v>115.7</v>
      </c>
      <c r="J56" s="40">
        <v>79</v>
      </c>
      <c r="K56" s="40">
        <v>35.9</v>
      </c>
      <c r="L56" s="40">
        <v>28</v>
      </c>
      <c r="M56" s="40">
        <v>6</v>
      </c>
      <c r="N56" s="40" t="s">
        <v>235</v>
      </c>
      <c r="O56" s="40">
        <v>26</v>
      </c>
      <c r="P56" s="40">
        <v>209</v>
      </c>
    </row>
    <row r="57" spans="1:16" x14ac:dyDescent="0.2">
      <c r="A57" s="2" t="s">
        <v>56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  <c r="P57" s="40"/>
    </row>
    <row r="58" spans="1:16" x14ac:dyDescent="0.2">
      <c r="A58" s="2"/>
      <c r="B58" s="40">
        <v>300</v>
      </c>
      <c r="C58" s="40">
        <v>196</v>
      </c>
      <c r="D58" s="40">
        <v>65.3</v>
      </c>
      <c r="E58" s="40">
        <v>6.6</v>
      </c>
      <c r="F58" s="40">
        <v>1986</v>
      </c>
      <c r="G58" s="40">
        <v>10</v>
      </c>
      <c r="H58" s="40">
        <v>4</v>
      </c>
      <c r="I58" s="40">
        <v>89.7</v>
      </c>
      <c r="J58" s="40">
        <v>96</v>
      </c>
      <c r="K58" s="40">
        <v>32</v>
      </c>
      <c r="L58" s="40">
        <v>23</v>
      </c>
      <c r="M58" s="40">
        <v>7</v>
      </c>
      <c r="N58" s="40">
        <v>59</v>
      </c>
      <c r="O58" s="40">
        <v>18</v>
      </c>
      <c r="P58" s="40">
        <v>100</v>
      </c>
    </row>
    <row r="59" spans="1:16" x14ac:dyDescent="0.2">
      <c r="A59" s="2" t="s">
        <v>58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  <c r="P59" s="40"/>
    </row>
    <row r="60" spans="1:16" x14ac:dyDescent="0.2">
      <c r="A60" s="2"/>
      <c r="B60" s="40">
        <v>298</v>
      </c>
      <c r="C60" s="40">
        <v>195</v>
      </c>
      <c r="D60" s="40">
        <v>65.400000000000006</v>
      </c>
      <c r="E60" s="40">
        <v>6.8</v>
      </c>
      <c r="F60" s="40">
        <v>2013</v>
      </c>
      <c r="G60" s="40">
        <v>10</v>
      </c>
      <c r="H60" s="40">
        <v>11</v>
      </c>
      <c r="I60" s="40">
        <v>80.599999999999994</v>
      </c>
      <c r="J60" s="40">
        <v>89</v>
      </c>
      <c r="K60" s="40">
        <v>29.9</v>
      </c>
      <c r="L60" s="40">
        <v>23</v>
      </c>
      <c r="M60" s="40">
        <v>5</v>
      </c>
      <c r="N60" s="40" t="s">
        <v>60</v>
      </c>
      <c r="O60" s="40">
        <v>26</v>
      </c>
      <c r="P60" s="40">
        <v>174</v>
      </c>
    </row>
    <row r="61" spans="1:16" x14ac:dyDescent="0.2">
      <c r="A61" s="2" t="s">
        <v>59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</row>
    <row r="62" spans="1:16" x14ac:dyDescent="0.2">
      <c r="A62" s="2"/>
      <c r="B62" s="40">
        <v>292</v>
      </c>
      <c r="C62" s="40">
        <v>193</v>
      </c>
      <c r="D62" s="40">
        <v>66.099999999999994</v>
      </c>
      <c r="E62" s="40">
        <v>7.4</v>
      </c>
      <c r="F62" s="40">
        <v>2156</v>
      </c>
      <c r="G62" s="40">
        <v>12</v>
      </c>
      <c r="H62" s="40">
        <v>8</v>
      </c>
      <c r="I62" s="40">
        <v>90.2</v>
      </c>
      <c r="J62" s="40">
        <v>107</v>
      </c>
      <c r="K62" s="40">
        <v>36.6</v>
      </c>
      <c r="L62" s="40">
        <v>22</v>
      </c>
      <c r="M62" s="40">
        <v>4</v>
      </c>
      <c r="N62" s="40" t="s">
        <v>49</v>
      </c>
      <c r="O62" s="40">
        <v>27</v>
      </c>
      <c r="P62" s="40">
        <v>195</v>
      </c>
    </row>
    <row r="63" spans="1:16" x14ac:dyDescent="0.2">
      <c r="A63" s="2" t="s">
        <v>61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</row>
    <row r="64" spans="1:16" x14ac:dyDescent="0.2">
      <c r="A64" s="2"/>
      <c r="B64" s="40">
        <v>304</v>
      </c>
      <c r="C64" s="40">
        <v>207</v>
      </c>
      <c r="D64" s="40">
        <v>68.099999999999994</v>
      </c>
      <c r="E64" s="40">
        <v>7.1</v>
      </c>
      <c r="F64" s="40">
        <v>2151</v>
      </c>
      <c r="G64" s="40">
        <v>16</v>
      </c>
      <c r="H64" s="40">
        <v>2</v>
      </c>
      <c r="I64" s="40">
        <v>103.1</v>
      </c>
      <c r="J64" s="40">
        <v>96</v>
      </c>
      <c r="K64" s="40">
        <v>31.6</v>
      </c>
      <c r="L64" s="40">
        <v>31</v>
      </c>
      <c r="M64" s="40">
        <v>3</v>
      </c>
      <c r="N64" s="40" t="s">
        <v>63</v>
      </c>
      <c r="O64" s="40">
        <v>10</v>
      </c>
      <c r="P64" s="40">
        <v>69</v>
      </c>
    </row>
    <row r="65" spans="1:16" x14ac:dyDescent="0.2">
      <c r="A65" s="2" t="s">
        <v>62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  <c r="P65" s="40"/>
    </row>
  </sheetData>
  <mergeCells count="480">
    <mergeCell ref="B4:B5"/>
    <mergeCell ref="C4:C5"/>
    <mergeCell ref="D4:D5"/>
    <mergeCell ref="E4:E5"/>
    <mergeCell ref="F4:F5"/>
    <mergeCell ref="G4:G5"/>
    <mergeCell ref="H4:H5"/>
    <mergeCell ref="H2:H3"/>
    <mergeCell ref="I2:I3"/>
    <mergeCell ref="B2:B3"/>
    <mergeCell ref="C2:C3"/>
    <mergeCell ref="D2:D3"/>
    <mergeCell ref="E2:E3"/>
    <mergeCell ref="F2:F3"/>
    <mergeCell ref="G2:G3"/>
    <mergeCell ref="E6:E7"/>
    <mergeCell ref="F6:F7"/>
    <mergeCell ref="G6:G7"/>
    <mergeCell ref="H6:H7"/>
    <mergeCell ref="I6:I7"/>
    <mergeCell ref="I4:I5"/>
    <mergeCell ref="N2:N3"/>
    <mergeCell ref="O2:O3"/>
    <mergeCell ref="P2:P3"/>
    <mergeCell ref="J2:J3"/>
    <mergeCell ref="K2:K3"/>
    <mergeCell ref="L2:L3"/>
    <mergeCell ref="M2:M3"/>
    <mergeCell ref="O4:O5"/>
    <mergeCell ref="P4:P5"/>
    <mergeCell ref="J4:J5"/>
    <mergeCell ref="K4:K5"/>
    <mergeCell ref="L4:L5"/>
    <mergeCell ref="M4:M5"/>
    <mergeCell ref="N4:N5"/>
    <mergeCell ref="K8:K9"/>
    <mergeCell ref="L8:L9"/>
    <mergeCell ref="M8:M9"/>
    <mergeCell ref="N8:N9"/>
    <mergeCell ref="G10:G11"/>
    <mergeCell ref="O12:O13"/>
    <mergeCell ref="P12:P13"/>
    <mergeCell ref="O8:O9"/>
    <mergeCell ref="P8:P9"/>
    <mergeCell ref="P6:P7"/>
    <mergeCell ref="B8:B9"/>
    <mergeCell ref="C8:C9"/>
    <mergeCell ref="D8:D9"/>
    <mergeCell ref="E8:E9"/>
    <mergeCell ref="F8:F9"/>
    <mergeCell ref="G8:G9"/>
    <mergeCell ref="H8:H9"/>
    <mergeCell ref="I8:I9"/>
    <mergeCell ref="J8:J9"/>
    <mergeCell ref="J6:J7"/>
    <mergeCell ref="K6:K7"/>
    <mergeCell ref="L6:L7"/>
    <mergeCell ref="M6:M7"/>
    <mergeCell ref="N6:N7"/>
    <mergeCell ref="O6:O7"/>
    <mergeCell ref="B6:B7"/>
    <mergeCell ref="C6:C7"/>
    <mergeCell ref="D6:D7"/>
    <mergeCell ref="H14:H15"/>
    <mergeCell ref="I14:I15"/>
    <mergeCell ref="I12:I13"/>
    <mergeCell ref="N10:N11"/>
    <mergeCell ref="O10:O11"/>
    <mergeCell ref="P10:P11"/>
    <mergeCell ref="B12:B13"/>
    <mergeCell ref="C12:C13"/>
    <mergeCell ref="D12:D13"/>
    <mergeCell ref="E12:E13"/>
    <mergeCell ref="F12:F13"/>
    <mergeCell ref="G12:G13"/>
    <mergeCell ref="H12:H13"/>
    <mergeCell ref="H10:H11"/>
    <mergeCell ref="I10:I11"/>
    <mergeCell ref="J10:J11"/>
    <mergeCell ref="K10:K11"/>
    <mergeCell ref="L10:L11"/>
    <mergeCell ref="M10:M11"/>
    <mergeCell ref="B10:B11"/>
    <mergeCell ref="C10:C11"/>
    <mergeCell ref="D10:D11"/>
    <mergeCell ref="E10:E11"/>
    <mergeCell ref="F10:F11"/>
    <mergeCell ref="J12:J13"/>
    <mergeCell ref="K12:K13"/>
    <mergeCell ref="L12:L13"/>
    <mergeCell ref="M12:M13"/>
    <mergeCell ref="N12:N13"/>
    <mergeCell ref="K16:K17"/>
    <mergeCell ref="L16:L17"/>
    <mergeCell ref="M16:M17"/>
    <mergeCell ref="N16:N17"/>
    <mergeCell ref="O16:O17"/>
    <mergeCell ref="P16:P17"/>
    <mergeCell ref="P14:P15"/>
    <mergeCell ref="B16:B17"/>
    <mergeCell ref="C16:C17"/>
    <mergeCell ref="D16:D17"/>
    <mergeCell ref="E16:E17"/>
    <mergeCell ref="F16:F17"/>
    <mergeCell ref="G16:G17"/>
    <mergeCell ref="H16:H17"/>
    <mergeCell ref="I16:I17"/>
    <mergeCell ref="J16:J17"/>
    <mergeCell ref="J14:J15"/>
    <mergeCell ref="K14:K15"/>
    <mergeCell ref="L14:L15"/>
    <mergeCell ref="M14:M15"/>
    <mergeCell ref="N14:N15"/>
    <mergeCell ref="O14:O15"/>
    <mergeCell ref="B14:B15"/>
    <mergeCell ref="C14:C15"/>
    <mergeCell ref="D14:D15"/>
    <mergeCell ref="E14:E15"/>
    <mergeCell ref="F14:F15"/>
    <mergeCell ref="G14:G15"/>
    <mergeCell ref="B20:B21"/>
    <mergeCell ref="C20:C21"/>
    <mergeCell ref="D20:D21"/>
    <mergeCell ref="E20:E21"/>
    <mergeCell ref="F20:F21"/>
    <mergeCell ref="G20:G21"/>
    <mergeCell ref="H20:H21"/>
    <mergeCell ref="H18:H19"/>
    <mergeCell ref="I18:I19"/>
    <mergeCell ref="B18:B19"/>
    <mergeCell ref="C18:C19"/>
    <mergeCell ref="D18:D19"/>
    <mergeCell ref="E18:E19"/>
    <mergeCell ref="F18:F19"/>
    <mergeCell ref="G18:G19"/>
    <mergeCell ref="E22:E23"/>
    <mergeCell ref="F22:F23"/>
    <mergeCell ref="G22:G23"/>
    <mergeCell ref="H22:H23"/>
    <mergeCell ref="I22:I23"/>
    <mergeCell ref="I20:I21"/>
    <mergeCell ref="N18:N19"/>
    <mergeCell ref="O18:O19"/>
    <mergeCell ref="P18:P19"/>
    <mergeCell ref="J18:J19"/>
    <mergeCell ref="K18:K19"/>
    <mergeCell ref="L18:L19"/>
    <mergeCell ref="M18:M19"/>
    <mergeCell ref="O20:O21"/>
    <mergeCell ref="P20:P21"/>
    <mergeCell ref="J20:J21"/>
    <mergeCell ref="K20:K21"/>
    <mergeCell ref="L20:L21"/>
    <mergeCell ref="M20:M21"/>
    <mergeCell ref="N20:N21"/>
    <mergeCell ref="K24:K25"/>
    <mergeCell ref="L24:L25"/>
    <mergeCell ref="M24:M25"/>
    <mergeCell ref="N24:N25"/>
    <mergeCell ref="G26:G27"/>
    <mergeCell ref="O28:O29"/>
    <mergeCell ref="P28:P29"/>
    <mergeCell ref="O24:O25"/>
    <mergeCell ref="P24:P25"/>
    <mergeCell ref="P22:P23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J22:J23"/>
    <mergeCell ref="K22:K23"/>
    <mergeCell ref="L22:L23"/>
    <mergeCell ref="M22:M23"/>
    <mergeCell ref="N22:N23"/>
    <mergeCell ref="O22:O23"/>
    <mergeCell ref="B22:B23"/>
    <mergeCell ref="C22:C23"/>
    <mergeCell ref="D22:D23"/>
    <mergeCell ref="H30:H31"/>
    <mergeCell ref="I30:I31"/>
    <mergeCell ref="I28:I29"/>
    <mergeCell ref="N26:N27"/>
    <mergeCell ref="O26:O27"/>
    <mergeCell ref="P26:P27"/>
    <mergeCell ref="B28:B29"/>
    <mergeCell ref="C28:C29"/>
    <mergeCell ref="D28:D29"/>
    <mergeCell ref="E28:E29"/>
    <mergeCell ref="F28:F29"/>
    <mergeCell ref="G28:G29"/>
    <mergeCell ref="H28:H29"/>
    <mergeCell ref="H26:H27"/>
    <mergeCell ref="I26:I27"/>
    <mergeCell ref="J26:J27"/>
    <mergeCell ref="K26:K27"/>
    <mergeCell ref="L26:L27"/>
    <mergeCell ref="M26:M27"/>
    <mergeCell ref="B26:B27"/>
    <mergeCell ref="C26:C27"/>
    <mergeCell ref="D26:D27"/>
    <mergeCell ref="E26:E27"/>
    <mergeCell ref="F26:F27"/>
    <mergeCell ref="J28:J29"/>
    <mergeCell ref="K28:K29"/>
    <mergeCell ref="L28:L29"/>
    <mergeCell ref="M28:M29"/>
    <mergeCell ref="N28:N29"/>
    <mergeCell ref="K32:K33"/>
    <mergeCell ref="L32:L33"/>
    <mergeCell ref="M32:M33"/>
    <mergeCell ref="N32:N33"/>
    <mergeCell ref="O32:O33"/>
    <mergeCell ref="P32:P33"/>
    <mergeCell ref="P30:P31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J30:J31"/>
    <mergeCell ref="K30:K31"/>
    <mergeCell ref="L30:L31"/>
    <mergeCell ref="M30:M31"/>
    <mergeCell ref="N30:N31"/>
    <mergeCell ref="O30:O31"/>
    <mergeCell ref="B30:B31"/>
    <mergeCell ref="C30:C31"/>
    <mergeCell ref="D30:D31"/>
    <mergeCell ref="E30:E31"/>
    <mergeCell ref="F30:F31"/>
    <mergeCell ref="G30:G31"/>
    <mergeCell ref="B36:B37"/>
    <mergeCell ref="C36:C37"/>
    <mergeCell ref="D36:D37"/>
    <mergeCell ref="E36:E37"/>
    <mergeCell ref="F36:F37"/>
    <mergeCell ref="G36:G37"/>
    <mergeCell ref="H36:H37"/>
    <mergeCell ref="H34:H35"/>
    <mergeCell ref="I34:I35"/>
    <mergeCell ref="B34:B35"/>
    <mergeCell ref="C34:C35"/>
    <mergeCell ref="D34:D35"/>
    <mergeCell ref="E34:E35"/>
    <mergeCell ref="F34:F35"/>
    <mergeCell ref="G34:G35"/>
    <mergeCell ref="E38:E39"/>
    <mergeCell ref="F38:F39"/>
    <mergeCell ref="G38:G39"/>
    <mergeCell ref="H38:H39"/>
    <mergeCell ref="I38:I39"/>
    <mergeCell ref="I36:I37"/>
    <mergeCell ref="N34:N35"/>
    <mergeCell ref="O34:O35"/>
    <mergeCell ref="P34:P35"/>
    <mergeCell ref="J34:J35"/>
    <mergeCell ref="K34:K35"/>
    <mergeCell ref="L34:L35"/>
    <mergeCell ref="M34:M35"/>
    <mergeCell ref="O36:O37"/>
    <mergeCell ref="P36:P37"/>
    <mergeCell ref="J36:J37"/>
    <mergeCell ref="K36:K37"/>
    <mergeCell ref="L36:L37"/>
    <mergeCell ref="M36:M37"/>
    <mergeCell ref="N36:N37"/>
    <mergeCell ref="K40:K41"/>
    <mergeCell ref="L40:L41"/>
    <mergeCell ref="M40:M41"/>
    <mergeCell ref="N40:N41"/>
    <mergeCell ref="G42:G43"/>
    <mergeCell ref="O44:O45"/>
    <mergeCell ref="P44:P45"/>
    <mergeCell ref="O40:O41"/>
    <mergeCell ref="P40:P41"/>
    <mergeCell ref="P38:P39"/>
    <mergeCell ref="B40:B41"/>
    <mergeCell ref="C40:C41"/>
    <mergeCell ref="D40:D41"/>
    <mergeCell ref="E40:E41"/>
    <mergeCell ref="F40:F41"/>
    <mergeCell ref="G40:G41"/>
    <mergeCell ref="H40:H41"/>
    <mergeCell ref="I40:I41"/>
    <mergeCell ref="J40:J41"/>
    <mergeCell ref="J38:J39"/>
    <mergeCell ref="K38:K39"/>
    <mergeCell ref="L38:L39"/>
    <mergeCell ref="M38:M39"/>
    <mergeCell ref="N38:N39"/>
    <mergeCell ref="O38:O39"/>
    <mergeCell ref="B38:B39"/>
    <mergeCell ref="C38:C39"/>
    <mergeCell ref="D38:D39"/>
    <mergeCell ref="H46:H47"/>
    <mergeCell ref="I46:I47"/>
    <mergeCell ref="I44:I45"/>
    <mergeCell ref="N42:N43"/>
    <mergeCell ref="O42:O43"/>
    <mergeCell ref="P42:P43"/>
    <mergeCell ref="B44:B45"/>
    <mergeCell ref="C44:C45"/>
    <mergeCell ref="D44:D45"/>
    <mergeCell ref="E44:E45"/>
    <mergeCell ref="F44:F45"/>
    <mergeCell ref="G44:G45"/>
    <mergeCell ref="H44:H45"/>
    <mergeCell ref="H42:H43"/>
    <mergeCell ref="I42:I43"/>
    <mergeCell ref="J42:J43"/>
    <mergeCell ref="K42:K43"/>
    <mergeCell ref="L42:L43"/>
    <mergeCell ref="M42:M43"/>
    <mergeCell ref="B42:B43"/>
    <mergeCell ref="C42:C43"/>
    <mergeCell ref="D42:D43"/>
    <mergeCell ref="E42:E43"/>
    <mergeCell ref="F42:F43"/>
    <mergeCell ref="J44:J45"/>
    <mergeCell ref="K44:K45"/>
    <mergeCell ref="L44:L45"/>
    <mergeCell ref="M44:M45"/>
    <mergeCell ref="N44:N45"/>
    <mergeCell ref="K48:K49"/>
    <mergeCell ref="L48:L49"/>
    <mergeCell ref="M48:M49"/>
    <mergeCell ref="N48:N49"/>
    <mergeCell ref="O48:O49"/>
    <mergeCell ref="P48:P49"/>
    <mergeCell ref="P46:P47"/>
    <mergeCell ref="B48:B49"/>
    <mergeCell ref="C48:C49"/>
    <mergeCell ref="D48:D49"/>
    <mergeCell ref="E48:E49"/>
    <mergeCell ref="F48:F49"/>
    <mergeCell ref="G48:G49"/>
    <mergeCell ref="H48:H49"/>
    <mergeCell ref="I48:I49"/>
    <mergeCell ref="J48:J49"/>
    <mergeCell ref="J46:J47"/>
    <mergeCell ref="K46:K47"/>
    <mergeCell ref="L46:L47"/>
    <mergeCell ref="M46:M47"/>
    <mergeCell ref="N46:N47"/>
    <mergeCell ref="O46:O47"/>
    <mergeCell ref="B46:B47"/>
    <mergeCell ref="C46:C47"/>
    <mergeCell ref="D46:D47"/>
    <mergeCell ref="E46:E47"/>
    <mergeCell ref="F46:F47"/>
    <mergeCell ref="G46:G47"/>
    <mergeCell ref="B52:B53"/>
    <mergeCell ref="C52:C53"/>
    <mergeCell ref="D52:D53"/>
    <mergeCell ref="E52:E53"/>
    <mergeCell ref="F52:F53"/>
    <mergeCell ref="G52:G53"/>
    <mergeCell ref="H52:H53"/>
    <mergeCell ref="H50:H51"/>
    <mergeCell ref="I50:I51"/>
    <mergeCell ref="B50:B51"/>
    <mergeCell ref="C50:C51"/>
    <mergeCell ref="D50:D51"/>
    <mergeCell ref="E50:E51"/>
    <mergeCell ref="F50:F51"/>
    <mergeCell ref="G50:G51"/>
    <mergeCell ref="E54:E55"/>
    <mergeCell ref="F54:F55"/>
    <mergeCell ref="G54:G55"/>
    <mergeCell ref="H54:H55"/>
    <mergeCell ref="I54:I55"/>
    <mergeCell ref="I52:I53"/>
    <mergeCell ref="N50:N51"/>
    <mergeCell ref="O50:O51"/>
    <mergeCell ref="P50:P51"/>
    <mergeCell ref="J50:J51"/>
    <mergeCell ref="K50:K51"/>
    <mergeCell ref="L50:L51"/>
    <mergeCell ref="M50:M51"/>
    <mergeCell ref="O52:O53"/>
    <mergeCell ref="P52:P53"/>
    <mergeCell ref="J52:J53"/>
    <mergeCell ref="K52:K53"/>
    <mergeCell ref="L52:L53"/>
    <mergeCell ref="M52:M53"/>
    <mergeCell ref="N52:N53"/>
    <mergeCell ref="K56:K57"/>
    <mergeCell ref="L56:L57"/>
    <mergeCell ref="M56:M57"/>
    <mergeCell ref="N56:N57"/>
    <mergeCell ref="G58:G59"/>
    <mergeCell ref="O60:O61"/>
    <mergeCell ref="P60:P61"/>
    <mergeCell ref="O56:O57"/>
    <mergeCell ref="P56:P57"/>
    <mergeCell ref="P54:P55"/>
    <mergeCell ref="B56:B57"/>
    <mergeCell ref="C56:C57"/>
    <mergeCell ref="D56:D57"/>
    <mergeCell ref="E56:E57"/>
    <mergeCell ref="F56:F57"/>
    <mergeCell ref="G56:G57"/>
    <mergeCell ref="H56:H57"/>
    <mergeCell ref="I56:I57"/>
    <mergeCell ref="J56:J57"/>
    <mergeCell ref="J54:J55"/>
    <mergeCell ref="K54:K55"/>
    <mergeCell ref="L54:L55"/>
    <mergeCell ref="M54:M55"/>
    <mergeCell ref="N54:N55"/>
    <mergeCell ref="O54:O55"/>
    <mergeCell ref="B54:B55"/>
    <mergeCell ref="C54:C55"/>
    <mergeCell ref="D54:D55"/>
    <mergeCell ref="H62:H63"/>
    <mergeCell ref="I62:I63"/>
    <mergeCell ref="I60:I61"/>
    <mergeCell ref="N58:N59"/>
    <mergeCell ref="O58:O59"/>
    <mergeCell ref="P58:P59"/>
    <mergeCell ref="B60:B61"/>
    <mergeCell ref="C60:C61"/>
    <mergeCell ref="D60:D61"/>
    <mergeCell ref="E60:E61"/>
    <mergeCell ref="F60:F61"/>
    <mergeCell ref="G60:G61"/>
    <mergeCell ref="H60:H61"/>
    <mergeCell ref="H58:H59"/>
    <mergeCell ref="I58:I59"/>
    <mergeCell ref="J58:J59"/>
    <mergeCell ref="K58:K59"/>
    <mergeCell ref="L58:L59"/>
    <mergeCell ref="M58:M59"/>
    <mergeCell ref="B58:B59"/>
    <mergeCell ref="C58:C59"/>
    <mergeCell ref="D58:D59"/>
    <mergeCell ref="E58:E59"/>
    <mergeCell ref="F58:F59"/>
    <mergeCell ref="J60:J61"/>
    <mergeCell ref="K60:K61"/>
    <mergeCell ref="L60:L61"/>
    <mergeCell ref="M60:M61"/>
    <mergeCell ref="N60:N61"/>
    <mergeCell ref="K64:K65"/>
    <mergeCell ref="L64:L65"/>
    <mergeCell ref="M64:M65"/>
    <mergeCell ref="N64:N65"/>
    <mergeCell ref="O64:O65"/>
    <mergeCell ref="P64:P65"/>
    <mergeCell ref="P62:P63"/>
    <mergeCell ref="B64:B65"/>
    <mergeCell ref="C64:C65"/>
    <mergeCell ref="D64:D65"/>
    <mergeCell ref="E64:E65"/>
    <mergeCell ref="F64:F65"/>
    <mergeCell ref="G64:G65"/>
    <mergeCell ref="H64:H65"/>
    <mergeCell ref="I64:I65"/>
    <mergeCell ref="J64:J65"/>
    <mergeCell ref="J62:J63"/>
    <mergeCell ref="K62:K63"/>
    <mergeCell ref="L62:L63"/>
    <mergeCell ref="M62:M63"/>
    <mergeCell ref="N62:N63"/>
    <mergeCell ref="O62:O63"/>
    <mergeCell ref="B62:B63"/>
    <mergeCell ref="C62:C63"/>
    <mergeCell ref="D62:D63"/>
    <mergeCell ref="E62:E63"/>
    <mergeCell ref="F62:F63"/>
    <mergeCell ref="G62:G63"/>
  </mergeCells>
  <hyperlinks>
    <hyperlink ref="R1" r:id="rId1" xr:uid="{B2408CA6-B492-8948-A528-CBF9998E8438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215BDC-5C2D-354D-9CD3-168DDE6F592A}">
  <sheetPr codeName="Sheet2"/>
  <dimension ref="A1:X33"/>
  <sheetViews>
    <sheetView workbookViewId="0">
      <selection activeCell="D26" sqref="D26"/>
    </sheetView>
  </sheetViews>
  <sheetFormatPr baseColWidth="10" defaultRowHeight="16" x14ac:dyDescent="0.2"/>
  <cols>
    <col min="1" max="1" width="13" bestFit="1" customWidth="1"/>
  </cols>
  <sheetData>
    <row r="1" spans="1:24" s="3" customFormat="1" ht="19" x14ac:dyDescent="0.2">
      <c r="A1" s="7" t="s">
        <v>0</v>
      </c>
      <c r="B1" s="6" t="s">
        <v>1</v>
      </c>
      <c r="C1" s="11" t="s">
        <v>175</v>
      </c>
      <c r="D1" s="11" t="s">
        <v>79</v>
      </c>
      <c r="E1" s="6" t="s">
        <v>2</v>
      </c>
      <c r="F1" s="6" t="s">
        <v>3</v>
      </c>
      <c r="G1" s="11" t="s">
        <v>79</v>
      </c>
      <c r="H1" s="11" t="s">
        <v>4</v>
      </c>
      <c r="I1" s="11" t="s">
        <v>79</v>
      </c>
      <c r="J1" s="6" t="s">
        <v>5</v>
      </c>
      <c r="K1" s="11" t="s">
        <v>176</v>
      </c>
      <c r="L1" s="11" t="s">
        <v>79</v>
      </c>
      <c r="M1" s="6" t="s">
        <v>6</v>
      </c>
      <c r="N1" s="11" t="s">
        <v>174</v>
      </c>
      <c r="O1" s="11" t="s">
        <v>79</v>
      </c>
      <c r="P1" s="6" t="s">
        <v>7</v>
      </c>
      <c r="Q1" s="6" t="s">
        <v>8</v>
      </c>
      <c r="R1" s="6" t="s">
        <v>9</v>
      </c>
      <c r="S1" s="6" t="s">
        <v>10</v>
      </c>
      <c r="T1" s="6" t="s">
        <v>11</v>
      </c>
      <c r="U1" s="6" t="s">
        <v>12</v>
      </c>
      <c r="V1" s="6" t="s">
        <v>13</v>
      </c>
      <c r="W1" s="6" t="s">
        <v>14</v>
      </c>
      <c r="X1" s="6" t="s">
        <v>15</v>
      </c>
    </row>
    <row r="2" spans="1:24" x14ac:dyDescent="0.2">
      <c r="A2" s="8" t="s">
        <v>16</v>
      </c>
      <c r="B2" s="4">
        <f>'(pass off)'!B2</f>
        <v>261</v>
      </c>
      <c r="C2" s="14">
        <f>B2/'CURRENT WEEK'!B2</f>
        <v>32.625</v>
      </c>
      <c r="D2" s="4">
        <f>RANK(C2,$C$2:$C$33)</f>
        <v>24</v>
      </c>
      <c r="E2" s="4">
        <f>'(pass off)'!C2</f>
        <v>164</v>
      </c>
      <c r="F2" s="4">
        <f>'(pass off)'!D2</f>
        <v>62.8</v>
      </c>
      <c r="G2" s="4">
        <f>RANK(F2,$F$2:$F$33)</f>
        <v>26</v>
      </c>
      <c r="H2" s="13">
        <f t="shared" ref="H2:H33" si="0">J2/B2</f>
        <v>8.0766283524904221</v>
      </c>
      <c r="I2" s="4">
        <f>RANK(H2,$H$2:$H$33)</f>
        <v>9</v>
      </c>
      <c r="J2" s="4">
        <f>'(pass off)'!F2</f>
        <v>2108</v>
      </c>
      <c r="K2" s="14">
        <f>J2/'CURRENT WEEK'!B2</f>
        <v>263.5</v>
      </c>
      <c r="L2" s="4">
        <f>RANK(K2,$K$2:$K$33)</f>
        <v>14</v>
      </c>
      <c r="M2" s="4">
        <f>'(pass off)'!G2</f>
        <v>11</v>
      </c>
      <c r="N2" s="14">
        <f>M2/'CURRENT WEEK'!B2</f>
        <v>1.375</v>
      </c>
      <c r="O2" s="4">
        <f>RANK(N2,$N$2:$N$33)</f>
        <v>19</v>
      </c>
      <c r="P2" s="4">
        <f>'(pass off)'!H2</f>
        <v>6</v>
      </c>
      <c r="Q2" s="4">
        <f>'(pass off)'!I2</f>
        <v>92.6</v>
      </c>
      <c r="R2" s="4">
        <f>'(pass off)'!J2</f>
        <v>98</v>
      </c>
      <c r="S2" s="4">
        <f>'(pass off)'!K2</f>
        <v>37.5</v>
      </c>
      <c r="T2" s="4">
        <f>'(pass off)'!L2</f>
        <v>24</v>
      </c>
      <c r="U2" s="4">
        <f>'(pass off)'!M2</f>
        <v>5</v>
      </c>
      <c r="V2" s="4">
        <f>'(pass off)'!N2</f>
        <v>83</v>
      </c>
      <c r="W2" s="4">
        <f>'(pass off)'!O2</f>
        <v>16</v>
      </c>
      <c r="X2" s="4">
        <f>'(pass off)'!P2</f>
        <v>88</v>
      </c>
    </row>
    <row r="3" spans="1:24" x14ac:dyDescent="0.2">
      <c r="A3" s="8" t="s">
        <v>18</v>
      </c>
      <c r="B3" s="4">
        <f>'(pass off)'!B4</f>
        <v>237</v>
      </c>
      <c r="C3" s="14">
        <f>B3/'CURRENT WEEK'!B3</f>
        <v>26.333333333333332</v>
      </c>
      <c r="D3" s="4">
        <f t="shared" ref="D3:D33" si="1">RANK(C3,$C$2:$C$33)</f>
        <v>32</v>
      </c>
      <c r="E3" s="4">
        <f>'(pass off)'!C4</f>
        <v>148</v>
      </c>
      <c r="F3" s="4">
        <f>'(pass off)'!D4</f>
        <v>62.4</v>
      </c>
      <c r="G3" s="4">
        <f t="shared" ref="G3:G33" si="2">RANK(F3,$F$2:$F$33)</f>
        <v>28</v>
      </c>
      <c r="H3" s="13">
        <f t="shared" si="0"/>
        <v>6.5485232067510548</v>
      </c>
      <c r="I3" s="4">
        <f t="shared" ref="I3:I33" si="3">RANK(H3,$H$2:$H$33)</f>
        <v>28</v>
      </c>
      <c r="J3" s="4">
        <f>'(pass off)'!F4</f>
        <v>1552</v>
      </c>
      <c r="K3" s="14">
        <f>J3/'CURRENT WEEK'!B3</f>
        <v>172.44444444444446</v>
      </c>
      <c r="L3" s="4">
        <f t="shared" ref="L3:L33" si="4">RANK(K3,$K$2:$K$33)</f>
        <v>32</v>
      </c>
      <c r="M3" s="4">
        <f>'(pass off)'!G4</f>
        <v>5</v>
      </c>
      <c r="N3" s="14">
        <f>M3/'CURRENT WEEK'!B3</f>
        <v>0.55555555555555558</v>
      </c>
      <c r="O3" s="4">
        <f t="shared" ref="O3:O33" si="5">RANK(N3,$N$2:$N$33)</f>
        <v>32</v>
      </c>
      <c r="P3" s="4">
        <f>'(pass off)'!H4</f>
        <v>9</v>
      </c>
      <c r="Q3" s="4">
        <f>'(pass off)'!I4</f>
        <v>72.599999999999994</v>
      </c>
      <c r="R3" s="4">
        <f>'(pass off)'!J4</f>
        <v>77</v>
      </c>
      <c r="S3" s="4">
        <f>'(pass off)'!K4</f>
        <v>32.5</v>
      </c>
      <c r="T3" s="4">
        <f>'(pass off)'!L4</f>
        <v>20</v>
      </c>
      <c r="U3" s="4">
        <f>'(pass off)'!M4</f>
        <v>2</v>
      </c>
      <c r="V3" s="4">
        <f>'(pass off)'!N4</f>
        <v>64</v>
      </c>
      <c r="W3" s="4">
        <f>'(pass off)'!O4</f>
        <v>33</v>
      </c>
      <c r="X3" s="4">
        <f>'(pass off)'!P4</f>
        <v>255</v>
      </c>
    </row>
    <row r="4" spans="1:24" x14ac:dyDescent="0.2">
      <c r="A4" s="8" t="s">
        <v>19</v>
      </c>
      <c r="B4" s="4">
        <f>'(pass off)'!B6</f>
        <v>290</v>
      </c>
      <c r="C4" s="14">
        <f>B4/'CURRENT WEEK'!B4</f>
        <v>32.222222222222221</v>
      </c>
      <c r="D4" s="4">
        <f t="shared" si="1"/>
        <v>26</v>
      </c>
      <c r="E4" s="4">
        <f>'(pass off)'!C6</f>
        <v>198</v>
      </c>
      <c r="F4" s="4">
        <f>'(pass off)'!D6</f>
        <v>68.3</v>
      </c>
      <c r="G4" s="4">
        <f t="shared" si="2"/>
        <v>7</v>
      </c>
      <c r="H4" s="13">
        <f t="shared" si="0"/>
        <v>8.8137931034482762</v>
      </c>
      <c r="I4" s="4">
        <f t="shared" si="3"/>
        <v>2</v>
      </c>
      <c r="J4" s="4">
        <f>'(pass off)'!F6</f>
        <v>2556</v>
      </c>
      <c r="K4" s="14">
        <f>J4/'CURRENT WEEK'!B4</f>
        <v>284</v>
      </c>
      <c r="L4" s="4">
        <f t="shared" si="4"/>
        <v>8</v>
      </c>
      <c r="M4" s="4">
        <f>'(pass off)'!G6</f>
        <v>21</v>
      </c>
      <c r="N4" s="14">
        <f>M4/'CURRENT WEEK'!B4</f>
        <v>2.3333333333333335</v>
      </c>
      <c r="O4" s="4">
        <f t="shared" si="5"/>
        <v>4</v>
      </c>
      <c r="P4" s="4">
        <f>'(pass off)'!H6</f>
        <v>11</v>
      </c>
      <c r="Q4" s="4">
        <f>'(pass off)'!I6</f>
        <v>104</v>
      </c>
      <c r="R4" s="4">
        <f>'(pass off)'!J6</f>
        <v>110</v>
      </c>
      <c r="S4" s="4">
        <f>'(pass off)'!K6</f>
        <v>37.9</v>
      </c>
      <c r="T4" s="4">
        <f>'(pass off)'!L6</f>
        <v>35</v>
      </c>
      <c r="U4" s="4">
        <f>'(pass off)'!M6</f>
        <v>10</v>
      </c>
      <c r="V4" s="4" t="str">
        <f>'(pass off)'!N6</f>
        <v>82T</v>
      </c>
      <c r="W4" s="4">
        <f>'(pass off)'!O6</f>
        <v>25</v>
      </c>
      <c r="X4" s="4">
        <f>'(pass off)'!P6</f>
        <v>177</v>
      </c>
    </row>
    <row r="5" spans="1:24" x14ac:dyDescent="0.2">
      <c r="A5" s="8" t="s">
        <v>21</v>
      </c>
      <c r="B5" s="4">
        <f>'(pass off)'!B8</f>
        <v>322</v>
      </c>
      <c r="C5" s="14">
        <f>B5/'CURRENT WEEK'!B5</f>
        <v>40.25</v>
      </c>
      <c r="D5" s="4">
        <f t="shared" si="1"/>
        <v>3</v>
      </c>
      <c r="E5" s="4">
        <f>'(pass off)'!C8</f>
        <v>211</v>
      </c>
      <c r="F5" s="4">
        <f>'(pass off)'!D8</f>
        <v>65.5</v>
      </c>
      <c r="G5" s="4">
        <f t="shared" si="2"/>
        <v>17</v>
      </c>
      <c r="H5" s="13">
        <f t="shared" si="0"/>
        <v>6.9720496894409933</v>
      </c>
      <c r="I5" s="4">
        <f t="shared" si="3"/>
        <v>22</v>
      </c>
      <c r="J5" s="4">
        <f>'(pass off)'!F8</f>
        <v>2245</v>
      </c>
      <c r="K5" s="14">
        <f>J5/'CURRENT WEEK'!B5</f>
        <v>280.625</v>
      </c>
      <c r="L5" s="4">
        <f t="shared" si="4"/>
        <v>10</v>
      </c>
      <c r="M5" s="4">
        <f>'(pass off)'!G8</f>
        <v>17</v>
      </c>
      <c r="N5" s="14">
        <f>M5/'CURRENT WEEK'!B5</f>
        <v>2.125</v>
      </c>
      <c r="O5" s="4">
        <f t="shared" si="5"/>
        <v>7</v>
      </c>
      <c r="P5" s="4">
        <f>'(pass off)'!H8</f>
        <v>5</v>
      </c>
      <c r="Q5" s="4">
        <f>'(pass off)'!I8</f>
        <v>96.9</v>
      </c>
      <c r="R5" s="4">
        <f>'(pass off)'!J8</f>
        <v>117</v>
      </c>
      <c r="S5" s="4">
        <f>'(pass off)'!K8</f>
        <v>36.299999999999997</v>
      </c>
      <c r="T5" s="4">
        <f>'(pass off)'!L8</f>
        <v>27</v>
      </c>
      <c r="U5" s="4">
        <f>'(pass off)'!M8</f>
        <v>5</v>
      </c>
      <c r="V5" s="4">
        <f>'(pass off)'!N8</f>
        <v>61</v>
      </c>
      <c r="W5" s="4">
        <f>'(pass off)'!O8</f>
        <v>12</v>
      </c>
      <c r="X5" s="4">
        <f>'(pass off)'!P8</f>
        <v>82</v>
      </c>
    </row>
    <row r="6" spans="1:24" x14ac:dyDescent="0.2">
      <c r="A6" s="8" t="s">
        <v>22</v>
      </c>
      <c r="B6" s="4">
        <f>'(pass off)'!B10</f>
        <v>306</v>
      </c>
      <c r="C6" s="14">
        <f>B6/'CURRENT WEEK'!B6</f>
        <v>34</v>
      </c>
      <c r="D6" s="4">
        <f t="shared" si="1"/>
        <v>20</v>
      </c>
      <c r="E6" s="4">
        <f>'(pass off)'!C10</f>
        <v>212</v>
      </c>
      <c r="F6" s="4">
        <f>'(pass off)'!D10</f>
        <v>69.3</v>
      </c>
      <c r="G6" s="4">
        <f t="shared" si="2"/>
        <v>3</v>
      </c>
      <c r="H6" s="13">
        <f t="shared" si="0"/>
        <v>7.4379084967320264</v>
      </c>
      <c r="I6" s="4">
        <f t="shared" si="3"/>
        <v>12</v>
      </c>
      <c r="J6" s="4">
        <f>'(pass off)'!F10</f>
        <v>2276</v>
      </c>
      <c r="K6" s="14">
        <f>J6/'CURRENT WEEK'!B6</f>
        <v>252.88888888888889</v>
      </c>
      <c r="L6" s="4">
        <f t="shared" si="4"/>
        <v>17</v>
      </c>
      <c r="M6" s="4">
        <f>'(pass off)'!G10</f>
        <v>14</v>
      </c>
      <c r="N6" s="14">
        <f>M6/'CURRENT WEEK'!B6</f>
        <v>1.5555555555555556</v>
      </c>
      <c r="O6" s="4">
        <f t="shared" si="5"/>
        <v>17</v>
      </c>
      <c r="P6" s="4">
        <f>'(pass off)'!H10</f>
        <v>6</v>
      </c>
      <c r="Q6" s="4">
        <f>'(pass off)'!I10</f>
        <v>97.9</v>
      </c>
      <c r="R6" s="4">
        <f>'(pass off)'!J10</f>
        <v>109</v>
      </c>
      <c r="S6" s="4">
        <f>'(pass off)'!K10</f>
        <v>35.6</v>
      </c>
      <c r="T6" s="4">
        <f>'(pass off)'!L10</f>
        <v>26</v>
      </c>
      <c r="U6" s="4">
        <f>'(pass off)'!M10</f>
        <v>3</v>
      </c>
      <c r="V6" s="4">
        <f>'(pass off)'!N10</f>
        <v>55</v>
      </c>
      <c r="W6" s="4">
        <f>'(pass off)'!O10</f>
        <v>29</v>
      </c>
      <c r="X6" s="4">
        <f>'(pass off)'!P10</f>
        <v>182</v>
      </c>
    </row>
    <row r="7" spans="1:24" x14ac:dyDescent="0.2">
      <c r="A7" s="8" t="s">
        <v>23</v>
      </c>
      <c r="B7" s="4">
        <f>'(pass off)'!B12</f>
        <v>261</v>
      </c>
      <c r="C7" s="14">
        <f>B7/'CURRENT WEEK'!B7</f>
        <v>29</v>
      </c>
      <c r="D7" s="4">
        <f t="shared" si="1"/>
        <v>30</v>
      </c>
      <c r="E7" s="4">
        <f>'(pass off)'!C12</f>
        <v>172</v>
      </c>
      <c r="F7" s="4">
        <f>'(pass off)'!D12</f>
        <v>65.900000000000006</v>
      </c>
      <c r="G7" s="4">
        <f t="shared" si="2"/>
        <v>14</v>
      </c>
      <c r="H7" s="13">
        <f t="shared" si="0"/>
        <v>8.1302681992337167</v>
      </c>
      <c r="I7" s="4">
        <f t="shared" si="3"/>
        <v>7</v>
      </c>
      <c r="J7" s="4">
        <f>'(pass off)'!F12</f>
        <v>2122</v>
      </c>
      <c r="K7" s="14">
        <f>J7/'CURRENT WEEK'!B7</f>
        <v>235.77777777777777</v>
      </c>
      <c r="L7" s="4">
        <f t="shared" si="4"/>
        <v>26</v>
      </c>
      <c r="M7" s="4">
        <f>'(pass off)'!G12</f>
        <v>9</v>
      </c>
      <c r="N7" s="14">
        <f>M7/'CURRENT WEEK'!B7</f>
        <v>1</v>
      </c>
      <c r="O7" s="4">
        <f t="shared" si="5"/>
        <v>27</v>
      </c>
      <c r="P7" s="4">
        <f>'(pass off)'!H12</f>
        <v>3</v>
      </c>
      <c r="Q7" s="4">
        <f>'(pass off)'!I12</f>
        <v>97.6</v>
      </c>
      <c r="R7" s="4">
        <f>'(pass off)'!J12</f>
        <v>97</v>
      </c>
      <c r="S7" s="4">
        <f>'(pass off)'!K12</f>
        <v>37.200000000000003</v>
      </c>
      <c r="T7" s="4">
        <f>'(pass off)'!L12</f>
        <v>27</v>
      </c>
      <c r="U7" s="4">
        <f>'(pass off)'!M12</f>
        <v>7</v>
      </c>
      <c r="V7" s="4" t="str">
        <f>'(pass off)'!N12</f>
        <v>71T</v>
      </c>
      <c r="W7" s="4">
        <f>'(pass off)'!O12</f>
        <v>25</v>
      </c>
      <c r="X7" s="4">
        <f>'(pass off)'!P12</f>
        <v>143</v>
      </c>
    </row>
    <row r="8" spans="1:24" x14ac:dyDescent="0.2">
      <c r="A8" s="8" t="s">
        <v>25</v>
      </c>
      <c r="B8" s="4">
        <f>'(pass off)'!B14</f>
        <v>350</v>
      </c>
      <c r="C8" s="14">
        <f>B8/'CURRENT WEEK'!B8</f>
        <v>43.75</v>
      </c>
      <c r="D8" s="4">
        <f t="shared" si="1"/>
        <v>1</v>
      </c>
      <c r="E8" s="4">
        <f>'(pass off)'!C14</f>
        <v>236</v>
      </c>
      <c r="F8" s="4">
        <f>'(pass off)'!D14</f>
        <v>67.400000000000006</v>
      </c>
      <c r="G8" s="4">
        <f t="shared" si="2"/>
        <v>10</v>
      </c>
      <c r="H8" s="13">
        <f t="shared" si="0"/>
        <v>7.7314285714285713</v>
      </c>
      <c r="I8" s="4">
        <f t="shared" si="3"/>
        <v>10</v>
      </c>
      <c r="J8" s="4">
        <f>'(pass off)'!F14</f>
        <v>2706</v>
      </c>
      <c r="K8" s="14">
        <f>J8/'CURRENT WEEK'!B8</f>
        <v>338.25</v>
      </c>
      <c r="L8" s="4">
        <f t="shared" si="4"/>
        <v>1</v>
      </c>
      <c r="M8" s="4">
        <f>'(pass off)'!G14</f>
        <v>25</v>
      </c>
      <c r="N8" s="14">
        <f>M8/'CURRENT WEEK'!B8</f>
        <v>3.125</v>
      </c>
      <c r="O8" s="4">
        <f t="shared" si="5"/>
        <v>1</v>
      </c>
      <c r="P8" s="4">
        <f>'(pass off)'!H14</f>
        <v>5</v>
      </c>
      <c r="Q8" s="4">
        <f>'(pass off)'!I14</f>
        <v>108.3</v>
      </c>
      <c r="R8" s="4">
        <f>'(pass off)'!J14</f>
        <v>141</v>
      </c>
      <c r="S8" s="4">
        <f>'(pass off)'!K14</f>
        <v>40.299999999999997</v>
      </c>
      <c r="T8" s="4">
        <f>'(pass off)'!L14</f>
        <v>40</v>
      </c>
      <c r="U8" s="4">
        <f>'(pass off)'!M14</f>
        <v>6</v>
      </c>
      <c r="V8" s="4" t="str">
        <f>'(pass off)'!N14</f>
        <v>62T</v>
      </c>
      <c r="W8" s="4">
        <f>'(pass off)'!O14</f>
        <v>12</v>
      </c>
      <c r="X8" s="4">
        <f>'(pass off)'!P14</f>
        <v>86</v>
      </c>
    </row>
    <row r="9" spans="1:24" x14ac:dyDescent="0.2">
      <c r="A9" s="8" t="s">
        <v>27</v>
      </c>
      <c r="B9" s="4">
        <f>'(pass off)'!B16</f>
        <v>283</v>
      </c>
      <c r="C9" s="14">
        <f>B9/'CURRENT WEEK'!B9</f>
        <v>31.444444444444443</v>
      </c>
      <c r="D9" s="4">
        <f t="shared" si="1"/>
        <v>27</v>
      </c>
      <c r="E9" s="4">
        <f>'(pass off)'!C16</f>
        <v>209</v>
      </c>
      <c r="F9" s="4">
        <f>'(pass off)'!D16</f>
        <v>73.900000000000006</v>
      </c>
      <c r="G9" s="4">
        <f t="shared" si="2"/>
        <v>1</v>
      </c>
      <c r="H9" s="13">
        <f t="shared" si="0"/>
        <v>9.0388692579505303</v>
      </c>
      <c r="I9" s="4">
        <f t="shared" si="3"/>
        <v>1</v>
      </c>
      <c r="J9" s="4">
        <f>'(pass off)'!F16</f>
        <v>2558</v>
      </c>
      <c r="K9" s="14">
        <f>J9/'CURRENT WEEK'!B9</f>
        <v>284.22222222222223</v>
      </c>
      <c r="L9" s="4">
        <f t="shared" si="4"/>
        <v>7</v>
      </c>
      <c r="M9" s="4">
        <f>'(pass off)'!G16</f>
        <v>18</v>
      </c>
      <c r="N9" s="14">
        <f>M9/'CURRENT WEEK'!B9</f>
        <v>2</v>
      </c>
      <c r="O9" s="4">
        <f t="shared" si="5"/>
        <v>9</v>
      </c>
      <c r="P9" s="4">
        <f>'(pass off)'!H16</f>
        <v>7</v>
      </c>
      <c r="Q9" s="4">
        <f>'(pass off)'!I16</f>
        <v>112.2</v>
      </c>
      <c r="R9" s="4">
        <f>'(pass off)'!J16</f>
        <v>114</v>
      </c>
      <c r="S9" s="4">
        <f>'(pass off)'!K16</f>
        <v>40.299999999999997</v>
      </c>
      <c r="T9" s="4">
        <f>'(pass off)'!L16</f>
        <v>37</v>
      </c>
      <c r="U9" s="4">
        <f>'(pass off)'!M16</f>
        <v>7</v>
      </c>
      <c r="V9" s="4" t="str">
        <f>'(pass off)'!N16</f>
        <v>77T</v>
      </c>
      <c r="W9" s="4">
        <f>'(pass off)'!O16</f>
        <v>20</v>
      </c>
      <c r="X9" s="4">
        <f>'(pass off)'!P16</f>
        <v>165</v>
      </c>
    </row>
    <row r="10" spans="1:24" x14ac:dyDescent="0.2">
      <c r="A10" s="8" t="s">
        <v>29</v>
      </c>
      <c r="B10" s="4">
        <f>'(pass off)'!B18</f>
        <v>320</v>
      </c>
      <c r="C10" s="14">
        <f>B10/'CURRENT WEEK'!B10</f>
        <v>40</v>
      </c>
      <c r="D10" s="4">
        <f t="shared" si="1"/>
        <v>4</v>
      </c>
      <c r="E10" s="4">
        <f>'(pass off)'!C18</f>
        <v>211</v>
      </c>
      <c r="F10" s="4">
        <f>'(pass off)'!D18</f>
        <v>65.900000000000006</v>
      </c>
      <c r="G10" s="4">
        <f t="shared" si="2"/>
        <v>14</v>
      </c>
      <c r="H10" s="13">
        <f t="shared" si="0"/>
        <v>7.34375</v>
      </c>
      <c r="I10" s="4">
        <f t="shared" si="3"/>
        <v>14</v>
      </c>
      <c r="J10" s="4">
        <f>'(pass off)'!F18</f>
        <v>2350</v>
      </c>
      <c r="K10" s="14">
        <f>J10/'CURRENT WEEK'!B10</f>
        <v>293.75</v>
      </c>
      <c r="L10" s="4">
        <f t="shared" si="4"/>
        <v>5</v>
      </c>
      <c r="M10" s="4">
        <f>'(pass off)'!G18</f>
        <v>18</v>
      </c>
      <c r="N10" s="14">
        <f>M10/'CURRENT WEEK'!B10</f>
        <v>2.25</v>
      </c>
      <c r="O10" s="4">
        <f t="shared" si="5"/>
        <v>5</v>
      </c>
      <c r="P10" s="4">
        <f>'(pass off)'!H18</f>
        <v>6</v>
      </c>
      <c r="Q10" s="4">
        <f>'(pass off)'!I18</f>
        <v>98.6</v>
      </c>
      <c r="R10" s="4">
        <f>'(pass off)'!J18</f>
        <v>116</v>
      </c>
      <c r="S10" s="4">
        <f>'(pass off)'!K18</f>
        <v>36.299999999999997</v>
      </c>
      <c r="T10" s="4">
        <f>'(pass off)'!L18</f>
        <v>28</v>
      </c>
      <c r="U10" s="4">
        <f>'(pass off)'!M18</f>
        <v>6</v>
      </c>
      <c r="V10" s="4" t="str">
        <f>'(pass off)'!N18</f>
        <v>72T</v>
      </c>
      <c r="W10" s="4">
        <f>'(pass off)'!O18</f>
        <v>14</v>
      </c>
      <c r="X10" s="4">
        <f>'(pass off)'!P18</f>
        <v>91</v>
      </c>
    </row>
    <row r="11" spans="1:24" x14ac:dyDescent="0.2">
      <c r="A11" s="8" t="s">
        <v>31</v>
      </c>
      <c r="B11" s="4">
        <f>'(pass off)'!B20</f>
        <v>378</v>
      </c>
      <c r="C11" s="14">
        <f>B11/'CURRENT WEEK'!B11</f>
        <v>42</v>
      </c>
      <c r="D11" s="4">
        <f t="shared" si="1"/>
        <v>2</v>
      </c>
      <c r="E11" s="4">
        <f>'(pass off)'!C20</f>
        <v>247</v>
      </c>
      <c r="F11" s="4">
        <f>'(pass off)'!D20</f>
        <v>65.3</v>
      </c>
      <c r="G11" s="4">
        <f t="shared" si="2"/>
        <v>19</v>
      </c>
      <c r="H11" s="13">
        <f t="shared" si="0"/>
        <v>6.9206349206349209</v>
      </c>
      <c r="I11" s="4">
        <f t="shared" si="3"/>
        <v>24</v>
      </c>
      <c r="J11" s="4">
        <f>'(pass off)'!F20</f>
        <v>2616</v>
      </c>
      <c r="K11" s="14">
        <f>J11/'CURRENT WEEK'!B11</f>
        <v>290.66666666666669</v>
      </c>
      <c r="L11" s="4">
        <f t="shared" si="4"/>
        <v>6</v>
      </c>
      <c r="M11" s="4">
        <f>'(pass off)'!G20</f>
        <v>20</v>
      </c>
      <c r="N11" s="14">
        <f>M11/'CURRENT WEEK'!B11</f>
        <v>2.2222222222222223</v>
      </c>
      <c r="O11" s="4">
        <f t="shared" si="5"/>
        <v>6</v>
      </c>
      <c r="P11" s="4">
        <f>'(pass off)'!H20</f>
        <v>10</v>
      </c>
      <c r="Q11" s="4">
        <f>'(pass off)'!I20</f>
        <v>92</v>
      </c>
      <c r="R11" s="4">
        <f>'(pass off)'!J20</f>
        <v>147</v>
      </c>
      <c r="S11" s="4">
        <f>'(pass off)'!K20</f>
        <v>38.9</v>
      </c>
      <c r="T11" s="4">
        <f>'(pass off)'!L20</f>
        <v>27</v>
      </c>
      <c r="U11" s="4">
        <f>'(pass off)'!M20</f>
        <v>5</v>
      </c>
      <c r="V11" s="4" t="str">
        <f>'(pass off)'!N20</f>
        <v>75T</v>
      </c>
      <c r="W11" s="4">
        <f>'(pass off)'!O20</f>
        <v>17</v>
      </c>
      <c r="X11" s="4">
        <f>'(pass off)'!P20</f>
        <v>87</v>
      </c>
    </row>
    <row r="12" spans="1:24" x14ac:dyDescent="0.2">
      <c r="A12" s="8" t="s">
        <v>33</v>
      </c>
      <c r="B12" s="4">
        <f>'(pass off)'!B22</f>
        <v>305</v>
      </c>
      <c r="C12" s="14">
        <f>B12/'CURRENT WEEK'!B12</f>
        <v>33.888888888888886</v>
      </c>
      <c r="D12" s="4">
        <f t="shared" si="1"/>
        <v>21</v>
      </c>
      <c r="E12" s="4">
        <f>'(pass off)'!C22</f>
        <v>192</v>
      </c>
      <c r="F12" s="4">
        <f>'(pass off)'!D22</f>
        <v>63</v>
      </c>
      <c r="G12" s="4">
        <f t="shared" si="2"/>
        <v>25</v>
      </c>
      <c r="H12" s="13">
        <f t="shared" si="0"/>
        <v>7.2885245901639344</v>
      </c>
      <c r="I12" s="4">
        <f t="shared" si="3"/>
        <v>15</v>
      </c>
      <c r="J12" s="4">
        <f>'(pass off)'!F22</f>
        <v>2223</v>
      </c>
      <c r="K12" s="14">
        <f>J12/'CURRENT WEEK'!B12</f>
        <v>247</v>
      </c>
      <c r="L12" s="4">
        <f t="shared" si="4"/>
        <v>20</v>
      </c>
      <c r="M12" s="4">
        <f>'(pass off)'!G22</f>
        <v>17</v>
      </c>
      <c r="N12" s="14">
        <f>M12/'CURRENT WEEK'!B12</f>
        <v>1.8888888888888888</v>
      </c>
      <c r="O12" s="4">
        <f t="shared" si="5"/>
        <v>12</v>
      </c>
      <c r="P12" s="4">
        <f>'(pass off)'!H22</f>
        <v>4</v>
      </c>
      <c r="Q12" s="4">
        <f>'(pass off)'!I22</f>
        <v>98</v>
      </c>
      <c r="R12" s="4">
        <f>'(pass off)'!J22</f>
        <v>101</v>
      </c>
      <c r="S12" s="4">
        <f>'(pass off)'!K22</f>
        <v>33.1</v>
      </c>
      <c r="T12" s="4">
        <f>'(pass off)'!L22</f>
        <v>28</v>
      </c>
      <c r="U12" s="4">
        <f>'(pass off)'!M22</f>
        <v>7</v>
      </c>
      <c r="V12" s="4" t="str">
        <f>'(pass off)'!N22</f>
        <v>76T</v>
      </c>
      <c r="W12" s="4">
        <f>'(pass off)'!O22</f>
        <v>17</v>
      </c>
      <c r="X12" s="4">
        <f>'(pass off)'!P22</f>
        <v>120</v>
      </c>
    </row>
    <row r="13" spans="1:24" x14ac:dyDescent="0.2">
      <c r="A13" s="8" t="s">
        <v>35</v>
      </c>
      <c r="B13" s="4">
        <f>'(pass off)'!B24</f>
        <v>297</v>
      </c>
      <c r="C13" s="14">
        <f>B13/'CURRENT WEEK'!B13</f>
        <v>37.125</v>
      </c>
      <c r="D13" s="4">
        <f t="shared" si="1"/>
        <v>13</v>
      </c>
      <c r="E13" s="4">
        <f>'(pass off)'!C24</f>
        <v>203</v>
      </c>
      <c r="F13" s="4">
        <f>'(pass off)'!D24</f>
        <v>68.400000000000006</v>
      </c>
      <c r="G13" s="4">
        <f t="shared" si="2"/>
        <v>5</v>
      </c>
      <c r="H13" s="13">
        <f t="shared" si="0"/>
        <v>8.1717171717171713</v>
      </c>
      <c r="I13" s="4">
        <f t="shared" si="3"/>
        <v>6</v>
      </c>
      <c r="J13" s="4">
        <f>'(pass off)'!F24</f>
        <v>2427</v>
      </c>
      <c r="K13" s="14">
        <f>J13/'CURRENT WEEK'!B13</f>
        <v>303.375</v>
      </c>
      <c r="L13" s="4">
        <f t="shared" si="4"/>
        <v>4</v>
      </c>
      <c r="M13" s="4">
        <f>'(pass off)'!G24</f>
        <v>20</v>
      </c>
      <c r="N13" s="14">
        <f>M13/'CURRENT WEEK'!B13</f>
        <v>2.5</v>
      </c>
      <c r="O13" s="4">
        <f t="shared" si="5"/>
        <v>3</v>
      </c>
      <c r="P13" s="4">
        <f>'(pass off)'!H24</f>
        <v>6</v>
      </c>
      <c r="Q13" s="4">
        <f>'(pass off)'!I24</f>
        <v>107.1</v>
      </c>
      <c r="R13" s="4">
        <f>'(pass off)'!J24</f>
        <v>124</v>
      </c>
      <c r="S13" s="4">
        <f>'(pass off)'!K24</f>
        <v>41.8</v>
      </c>
      <c r="T13" s="4">
        <f>'(pass off)'!L24</f>
        <v>35</v>
      </c>
      <c r="U13" s="4">
        <f>'(pass off)'!M24</f>
        <v>4</v>
      </c>
      <c r="V13" s="4" t="str">
        <f>'(pass off)'!N24</f>
        <v>73T</v>
      </c>
      <c r="W13" s="4">
        <f>'(pass off)'!O24</f>
        <v>14</v>
      </c>
      <c r="X13" s="4">
        <f>'(pass off)'!P24</f>
        <v>95</v>
      </c>
    </row>
    <row r="14" spans="1:24" x14ac:dyDescent="0.2">
      <c r="A14" s="8" t="s">
        <v>37</v>
      </c>
      <c r="B14" s="4">
        <f>'(pass off)'!B26</f>
        <v>359</v>
      </c>
      <c r="C14" s="14">
        <f>B14/'CURRENT WEEK'!B14</f>
        <v>39.888888888888886</v>
      </c>
      <c r="D14" s="4">
        <f t="shared" si="1"/>
        <v>5</v>
      </c>
      <c r="E14" s="4">
        <f>'(pass off)'!C26</f>
        <v>233</v>
      </c>
      <c r="F14" s="4">
        <f>'(pass off)'!D26</f>
        <v>64.900000000000006</v>
      </c>
      <c r="G14" s="4">
        <f t="shared" si="2"/>
        <v>21</v>
      </c>
      <c r="H14" s="13">
        <f t="shared" si="0"/>
        <v>6.0362116991643457</v>
      </c>
      <c r="I14" s="4">
        <f t="shared" si="3"/>
        <v>32</v>
      </c>
      <c r="J14" s="4">
        <f>'(pass off)'!F26</f>
        <v>2167</v>
      </c>
      <c r="K14" s="14">
        <f>J14/'CURRENT WEEK'!B14</f>
        <v>240.77777777777777</v>
      </c>
      <c r="L14" s="4">
        <f t="shared" si="4"/>
        <v>22</v>
      </c>
      <c r="M14" s="4">
        <f>'(pass off)'!G26</f>
        <v>12</v>
      </c>
      <c r="N14" s="14">
        <f>M14/'CURRENT WEEK'!B14</f>
        <v>1.3333333333333333</v>
      </c>
      <c r="O14" s="4">
        <f t="shared" si="5"/>
        <v>21</v>
      </c>
      <c r="P14" s="4">
        <f>'(pass off)'!H26</f>
        <v>9</v>
      </c>
      <c r="Q14" s="4">
        <f>'(pass off)'!I26</f>
        <v>82</v>
      </c>
      <c r="R14" s="4">
        <f>'(pass off)'!J26</f>
        <v>115</v>
      </c>
      <c r="S14" s="4">
        <f>'(pass off)'!K26</f>
        <v>32</v>
      </c>
      <c r="T14" s="4">
        <f>'(pass off)'!L26</f>
        <v>26</v>
      </c>
      <c r="U14" s="4">
        <f>'(pass off)'!M26</f>
        <v>2</v>
      </c>
      <c r="V14" s="4">
        <f>'(pass off)'!N26</f>
        <v>42</v>
      </c>
      <c r="W14" s="4">
        <f>'(pass off)'!O26</f>
        <v>23</v>
      </c>
      <c r="X14" s="4">
        <f>'(pass off)'!P26</f>
        <v>166</v>
      </c>
    </row>
    <row r="15" spans="1:24" x14ac:dyDescent="0.2">
      <c r="A15" s="8" t="s">
        <v>38</v>
      </c>
      <c r="B15" s="4">
        <f>'(pass off)'!B28</f>
        <v>276</v>
      </c>
      <c r="C15" s="14">
        <f>B15/'CURRENT WEEK'!B15</f>
        <v>30.666666666666668</v>
      </c>
      <c r="D15" s="4">
        <f t="shared" si="1"/>
        <v>28</v>
      </c>
      <c r="E15" s="4">
        <f>'(pass off)'!C28</f>
        <v>170</v>
      </c>
      <c r="F15" s="4">
        <f>'(pass off)'!D28</f>
        <v>61.6</v>
      </c>
      <c r="G15" s="4">
        <f t="shared" si="2"/>
        <v>29</v>
      </c>
      <c r="H15" s="13">
        <f t="shared" si="0"/>
        <v>7.2173913043478262</v>
      </c>
      <c r="I15" s="4">
        <f t="shared" si="3"/>
        <v>16</v>
      </c>
      <c r="J15" s="4">
        <f>'(pass off)'!F28</f>
        <v>1992</v>
      </c>
      <c r="K15" s="14">
        <f>J15/'CURRENT WEEK'!B15</f>
        <v>221.33333333333334</v>
      </c>
      <c r="L15" s="4">
        <f t="shared" si="4"/>
        <v>30</v>
      </c>
      <c r="M15" s="4">
        <f>'(pass off)'!G28</f>
        <v>11</v>
      </c>
      <c r="N15" s="14">
        <f>M15/'CURRENT WEEK'!B15</f>
        <v>1.2222222222222223</v>
      </c>
      <c r="O15" s="4">
        <f t="shared" si="5"/>
        <v>24</v>
      </c>
      <c r="P15" s="4">
        <f>'(pass off)'!H28</f>
        <v>4</v>
      </c>
      <c r="Q15" s="4">
        <f>'(pass off)'!I28</f>
        <v>90.7</v>
      </c>
      <c r="R15" s="4">
        <f>'(pass off)'!J28</f>
        <v>88</v>
      </c>
      <c r="S15" s="4">
        <f>'(pass off)'!K28</f>
        <v>31.9</v>
      </c>
      <c r="T15" s="4">
        <f>'(pass off)'!L28</f>
        <v>29</v>
      </c>
      <c r="U15" s="4">
        <f>'(pass off)'!M28</f>
        <v>3</v>
      </c>
      <c r="V15" s="4">
        <f>'(pass off)'!N28</f>
        <v>91</v>
      </c>
      <c r="W15" s="4">
        <f>'(pass off)'!O28</f>
        <v>15</v>
      </c>
      <c r="X15" s="4">
        <f>'(pass off)'!P28</f>
        <v>106</v>
      </c>
    </row>
    <row r="16" spans="1:24" x14ac:dyDescent="0.2">
      <c r="A16" s="8" t="s">
        <v>39</v>
      </c>
      <c r="B16" s="4">
        <f>'(pass off)'!B30</f>
        <v>304</v>
      </c>
      <c r="C16" s="14">
        <f>B16/'CURRENT WEEK'!B16</f>
        <v>38</v>
      </c>
      <c r="D16" s="4">
        <f t="shared" si="1"/>
        <v>9</v>
      </c>
      <c r="E16" s="4">
        <f>'(pass off)'!C30</f>
        <v>209</v>
      </c>
      <c r="F16" s="4">
        <f>'(pass off)'!D30</f>
        <v>68.8</v>
      </c>
      <c r="G16" s="4">
        <f t="shared" si="2"/>
        <v>4</v>
      </c>
      <c r="H16" s="13">
        <f t="shared" si="0"/>
        <v>7.0953947368421053</v>
      </c>
      <c r="I16" s="4">
        <f t="shared" si="3"/>
        <v>19</v>
      </c>
      <c r="J16" s="4">
        <f>'(pass off)'!F30</f>
        <v>2157</v>
      </c>
      <c r="K16" s="14">
        <f>J16/'CURRENT WEEK'!B16</f>
        <v>269.625</v>
      </c>
      <c r="L16" s="4">
        <f t="shared" si="4"/>
        <v>12</v>
      </c>
      <c r="M16" s="4">
        <f>'(pass off)'!G30</f>
        <v>15</v>
      </c>
      <c r="N16" s="14">
        <f>M16/'CURRENT WEEK'!B16</f>
        <v>1.875</v>
      </c>
      <c r="O16" s="4">
        <f t="shared" si="5"/>
        <v>13</v>
      </c>
      <c r="P16" s="4">
        <f>'(pass off)'!H30</f>
        <v>6</v>
      </c>
      <c r="Q16" s="4">
        <f>'(pass off)'!I30</f>
        <v>97.2</v>
      </c>
      <c r="R16" s="4">
        <f>'(pass off)'!J30</f>
        <v>109</v>
      </c>
      <c r="S16" s="4">
        <f>'(pass off)'!K30</f>
        <v>35.9</v>
      </c>
      <c r="T16" s="4">
        <f>'(pass off)'!L30</f>
        <v>25</v>
      </c>
      <c r="U16" s="4">
        <f>'(pass off)'!M30</f>
        <v>4</v>
      </c>
      <c r="V16" s="4">
        <f>'(pass off)'!N30</f>
        <v>64</v>
      </c>
      <c r="W16" s="4">
        <f>'(pass off)'!O30</f>
        <v>14</v>
      </c>
      <c r="X16" s="4">
        <f>'(pass off)'!P30</f>
        <v>96</v>
      </c>
    </row>
    <row r="17" spans="1:24" x14ac:dyDescent="0.2">
      <c r="A17" s="8" t="s">
        <v>40</v>
      </c>
      <c r="B17" s="4">
        <f>'(pass off)'!B32</f>
        <v>280</v>
      </c>
      <c r="C17" s="14">
        <f>B17/'CURRENT WEEK'!B17</f>
        <v>35</v>
      </c>
      <c r="D17" s="4">
        <f t="shared" si="1"/>
        <v>17</v>
      </c>
      <c r="E17" s="4">
        <f>'(pass off)'!C32</f>
        <v>178</v>
      </c>
      <c r="F17" s="4">
        <f>'(pass off)'!D32</f>
        <v>63.6</v>
      </c>
      <c r="G17" s="4">
        <f t="shared" si="2"/>
        <v>24</v>
      </c>
      <c r="H17" s="13">
        <f t="shared" si="0"/>
        <v>6.9321428571428569</v>
      </c>
      <c r="I17" s="4">
        <f t="shared" si="3"/>
        <v>23</v>
      </c>
      <c r="J17" s="4">
        <f>'(pass off)'!F32</f>
        <v>1941</v>
      </c>
      <c r="K17" s="14">
        <f>J17/'CURRENT WEEK'!B17</f>
        <v>242.625</v>
      </c>
      <c r="L17" s="4">
        <f t="shared" si="4"/>
        <v>21</v>
      </c>
      <c r="M17" s="4">
        <f>'(pass off)'!G32</f>
        <v>11</v>
      </c>
      <c r="N17" s="14">
        <f>M17/'CURRENT WEEK'!B17</f>
        <v>1.375</v>
      </c>
      <c r="O17" s="4">
        <f t="shared" si="5"/>
        <v>19</v>
      </c>
      <c r="P17" s="4">
        <f>'(pass off)'!H32</f>
        <v>9</v>
      </c>
      <c r="Q17" s="4">
        <f>'(pass off)'!I32</f>
        <v>83.6</v>
      </c>
      <c r="R17" s="4">
        <f>'(pass off)'!J32</f>
        <v>91</v>
      </c>
      <c r="S17" s="4">
        <f>'(pass off)'!K32</f>
        <v>32.5</v>
      </c>
      <c r="T17" s="4">
        <f>'(pass off)'!L32</f>
        <v>24</v>
      </c>
      <c r="U17" s="4">
        <f>'(pass off)'!M32</f>
        <v>3</v>
      </c>
      <c r="V17" s="4" t="str">
        <f>'(pass off)'!N32</f>
        <v>73T</v>
      </c>
      <c r="W17" s="4">
        <f>'(pass off)'!O32</f>
        <v>15</v>
      </c>
      <c r="X17" s="4">
        <f>'(pass off)'!P32</f>
        <v>97</v>
      </c>
    </row>
    <row r="18" spans="1:24" x14ac:dyDescent="0.2">
      <c r="A18" s="8" t="s">
        <v>42</v>
      </c>
      <c r="B18" s="4">
        <f>'(pass off)'!B34</f>
        <v>321</v>
      </c>
      <c r="C18" s="14">
        <f>B18/'CURRENT WEEK'!B18</f>
        <v>35.666666666666664</v>
      </c>
      <c r="D18" s="4">
        <f t="shared" si="1"/>
        <v>15</v>
      </c>
      <c r="E18" s="4">
        <f>'(pass off)'!C34</f>
        <v>208</v>
      </c>
      <c r="F18" s="4">
        <f>'(pass off)'!D34</f>
        <v>64.8</v>
      </c>
      <c r="G18" s="4">
        <f t="shared" si="2"/>
        <v>22</v>
      </c>
      <c r="H18" s="13">
        <f t="shared" si="0"/>
        <v>7.1339563862928346</v>
      </c>
      <c r="I18" s="4">
        <f t="shared" si="3"/>
        <v>18</v>
      </c>
      <c r="J18" s="4">
        <f>'(pass off)'!F34</f>
        <v>2290</v>
      </c>
      <c r="K18" s="14">
        <f>J18/'CURRENT WEEK'!B18</f>
        <v>254.44444444444446</v>
      </c>
      <c r="L18" s="4">
        <f t="shared" si="4"/>
        <v>15</v>
      </c>
      <c r="M18" s="4">
        <f>'(pass off)'!G34</f>
        <v>9</v>
      </c>
      <c r="N18" s="14">
        <f>M18/'CURRENT WEEK'!B18</f>
        <v>1</v>
      </c>
      <c r="O18" s="4">
        <f t="shared" si="5"/>
        <v>27</v>
      </c>
      <c r="P18" s="4">
        <f>'(pass off)'!H34</f>
        <v>7</v>
      </c>
      <c r="Q18" s="4">
        <f>'(pass off)'!I34</f>
        <v>86.1</v>
      </c>
      <c r="R18" s="4">
        <f>'(pass off)'!J34</f>
        <v>109</v>
      </c>
      <c r="S18" s="4">
        <f>'(pass off)'!K34</f>
        <v>34</v>
      </c>
      <c r="T18" s="4">
        <f>'(pass off)'!L34</f>
        <v>23</v>
      </c>
      <c r="U18" s="4">
        <f>'(pass off)'!M34</f>
        <v>5</v>
      </c>
      <c r="V18" s="4" t="str">
        <f>'(pass off)'!N34</f>
        <v>54T</v>
      </c>
      <c r="W18" s="4">
        <f>'(pass off)'!O34</f>
        <v>20</v>
      </c>
      <c r="X18" s="4">
        <f>'(pass off)'!P34</f>
        <v>140</v>
      </c>
    </row>
    <row r="19" spans="1:24" x14ac:dyDescent="0.2">
      <c r="A19" s="8" t="s">
        <v>44</v>
      </c>
      <c r="B19" s="4">
        <f>'(pass off)'!B36</f>
        <v>298</v>
      </c>
      <c r="C19" s="14">
        <f>B19/'CURRENT WEEK'!B19</f>
        <v>37.25</v>
      </c>
      <c r="D19" s="4">
        <f t="shared" si="1"/>
        <v>12</v>
      </c>
      <c r="E19" s="4">
        <f>'(pass off)'!C36</f>
        <v>178</v>
      </c>
      <c r="F19" s="4">
        <f>'(pass off)'!D36</f>
        <v>59.7</v>
      </c>
      <c r="G19" s="4">
        <f t="shared" si="2"/>
        <v>30</v>
      </c>
      <c r="H19" s="13">
        <f t="shared" si="0"/>
        <v>6.2214765100671139</v>
      </c>
      <c r="I19" s="4">
        <f t="shared" si="3"/>
        <v>31</v>
      </c>
      <c r="J19" s="4">
        <f>'(pass off)'!F36</f>
        <v>1854</v>
      </c>
      <c r="K19" s="14">
        <f>J19/'CURRENT WEEK'!B19</f>
        <v>231.75</v>
      </c>
      <c r="L19" s="4">
        <f t="shared" si="4"/>
        <v>27</v>
      </c>
      <c r="M19" s="4">
        <f>'(pass off)'!G36</f>
        <v>8</v>
      </c>
      <c r="N19" s="14">
        <f>M19/'CURRENT WEEK'!B19</f>
        <v>1</v>
      </c>
      <c r="O19" s="4">
        <f t="shared" si="5"/>
        <v>27</v>
      </c>
      <c r="P19" s="4">
        <f>'(pass off)'!H36</f>
        <v>9</v>
      </c>
      <c r="Q19" s="4">
        <f>'(pass off)'!I36</f>
        <v>74.099999999999994</v>
      </c>
      <c r="R19" s="4">
        <f>'(pass off)'!J36</f>
        <v>87</v>
      </c>
      <c r="S19" s="4">
        <f>'(pass off)'!K36</f>
        <v>29.2</v>
      </c>
      <c r="T19" s="4">
        <f>'(pass off)'!L36</f>
        <v>23</v>
      </c>
      <c r="U19" s="4">
        <f>'(pass off)'!M36</f>
        <v>3</v>
      </c>
      <c r="V19" s="4">
        <f>'(pass off)'!N36</f>
        <v>58</v>
      </c>
      <c r="W19" s="4">
        <f>'(pass off)'!O36</f>
        <v>13</v>
      </c>
      <c r="X19" s="4">
        <f>'(pass off)'!P36</f>
        <v>83</v>
      </c>
    </row>
    <row r="20" spans="1:24" x14ac:dyDescent="0.2">
      <c r="A20" s="8" t="s">
        <v>45</v>
      </c>
      <c r="B20" s="4">
        <f>'(pass off)'!B38</f>
        <v>314</v>
      </c>
      <c r="C20" s="14">
        <f>B20/'CURRENT WEEK'!B20</f>
        <v>39.25</v>
      </c>
      <c r="D20" s="4">
        <f t="shared" si="1"/>
        <v>6</v>
      </c>
      <c r="E20" s="4">
        <f>'(pass off)'!C38</f>
        <v>197</v>
      </c>
      <c r="F20" s="4">
        <f>'(pass off)'!D38</f>
        <v>62.7</v>
      </c>
      <c r="G20" s="4">
        <f t="shared" si="2"/>
        <v>27</v>
      </c>
      <c r="H20" s="13">
        <f t="shared" si="0"/>
        <v>7.0191082802547768</v>
      </c>
      <c r="I20" s="4">
        <f t="shared" si="3"/>
        <v>21</v>
      </c>
      <c r="J20" s="4">
        <f>'(pass off)'!F38</f>
        <v>2204</v>
      </c>
      <c r="K20" s="14">
        <f>J20/'CURRENT WEEK'!B20</f>
        <v>275.5</v>
      </c>
      <c r="L20" s="4">
        <f t="shared" si="4"/>
        <v>11</v>
      </c>
      <c r="M20" s="4">
        <f>'(pass off)'!G38</f>
        <v>12</v>
      </c>
      <c r="N20" s="14">
        <f>M20/'CURRENT WEEK'!B20</f>
        <v>1.5</v>
      </c>
      <c r="O20" s="4">
        <f t="shared" si="5"/>
        <v>18</v>
      </c>
      <c r="P20" s="4">
        <f>'(pass off)'!H38</f>
        <v>14</v>
      </c>
      <c r="Q20" s="4">
        <f>'(pass off)'!I38</f>
        <v>77.8</v>
      </c>
      <c r="R20" s="4">
        <f>'(pass off)'!J38</f>
        <v>107</v>
      </c>
      <c r="S20" s="4">
        <f>'(pass off)'!K38</f>
        <v>34.1</v>
      </c>
      <c r="T20" s="4">
        <f>'(pass off)'!L38</f>
        <v>29</v>
      </c>
      <c r="U20" s="4">
        <f>'(pass off)'!M38</f>
        <v>3</v>
      </c>
      <c r="V20" s="4">
        <f>'(pass off)'!N38</f>
        <v>54</v>
      </c>
      <c r="W20" s="4">
        <f>'(pass off)'!O38</f>
        <v>24</v>
      </c>
      <c r="X20" s="4">
        <f>'(pass off)'!P38</f>
        <v>190</v>
      </c>
    </row>
    <row r="21" spans="1:24" x14ac:dyDescent="0.2">
      <c r="A21" s="8" t="s">
        <v>46</v>
      </c>
      <c r="B21" s="4">
        <f>'(pass off)'!B40</f>
        <v>310</v>
      </c>
      <c r="C21" s="14">
        <f>B21/'CURRENT WEEK'!B21</f>
        <v>38.75</v>
      </c>
      <c r="D21" s="4">
        <f t="shared" si="1"/>
        <v>8</v>
      </c>
      <c r="E21" s="4">
        <f>'(pass off)'!C40</f>
        <v>207</v>
      </c>
      <c r="F21" s="4">
        <f>'(pass off)'!D40</f>
        <v>66.8</v>
      </c>
      <c r="G21" s="4">
        <f t="shared" si="2"/>
        <v>12</v>
      </c>
      <c r="H21" s="13">
        <f t="shared" si="0"/>
        <v>6.4903225806451612</v>
      </c>
      <c r="I21" s="4">
        <f t="shared" si="3"/>
        <v>29</v>
      </c>
      <c r="J21" s="4">
        <f>'(pass off)'!F40</f>
        <v>2012</v>
      </c>
      <c r="K21" s="14">
        <f>J21/'CURRENT WEEK'!B21</f>
        <v>251.5</v>
      </c>
      <c r="L21" s="4">
        <f t="shared" si="4"/>
        <v>18</v>
      </c>
      <c r="M21" s="4">
        <f>'(pass off)'!G40</f>
        <v>8</v>
      </c>
      <c r="N21" s="14">
        <f>M21/'CURRENT WEEK'!B21</f>
        <v>1</v>
      </c>
      <c r="O21" s="4">
        <f t="shared" si="5"/>
        <v>27</v>
      </c>
      <c r="P21" s="4">
        <f>'(pass off)'!H40</f>
        <v>6</v>
      </c>
      <c r="Q21" s="4">
        <f>'(pass off)'!I40</f>
        <v>85.3</v>
      </c>
      <c r="R21" s="4">
        <f>'(pass off)'!J40</f>
        <v>103</v>
      </c>
      <c r="S21" s="4">
        <f>'(pass off)'!K40</f>
        <v>33.200000000000003</v>
      </c>
      <c r="T21" s="4">
        <f>'(pass off)'!L40</f>
        <v>25</v>
      </c>
      <c r="U21" s="4">
        <f>'(pass off)'!M40</f>
        <v>3</v>
      </c>
      <c r="V21" s="4" t="str">
        <f>'(pass off)'!N40</f>
        <v>63T</v>
      </c>
      <c r="W21" s="4">
        <f>'(pass off)'!O40</f>
        <v>23</v>
      </c>
      <c r="X21" s="4">
        <f>'(pass off)'!P40</f>
        <v>188</v>
      </c>
    </row>
    <row r="22" spans="1:24" x14ac:dyDescent="0.2">
      <c r="A22" s="8" t="s">
        <v>47</v>
      </c>
      <c r="B22" s="4">
        <f>'(pass off)'!B42</f>
        <v>299</v>
      </c>
      <c r="C22" s="14">
        <f>B22/'CURRENT WEEK'!B22</f>
        <v>33.222222222222221</v>
      </c>
      <c r="D22" s="4">
        <f t="shared" si="1"/>
        <v>22</v>
      </c>
      <c r="E22" s="4">
        <f>'(pass off)'!C42</f>
        <v>197</v>
      </c>
      <c r="F22" s="4">
        <f>'(pass off)'!D42</f>
        <v>65.900000000000006</v>
      </c>
      <c r="G22" s="4">
        <f t="shared" si="2"/>
        <v>14</v>
      </c>
      <c r="H22" s="13">
        <f t="shared" si="0"/>
        <v>7.1973244147157187</v>
      </c>
      <c r="I22" s="4">
        <f t="shared" si="3"/>
        <v>17</v>
      </c>
      <c r="J22" s="4">
        <f>'(pass off)'!F42</f>
        <v>2152</v>
      </c>
      <c r="K22" s="14">
        <f>J22/'CURRENT WEEK'!B22</f>
        <v>239.11111111111111</v>
      </c>
      <c r="L22" s="4">
        <f t="shared" si="4"/>
        <v>24</v>
      </c>
      <c r="M22" s="4">
        <f>'(pass off)'!G42</f>
        <v>18</v>
      </c>
      <c r="N22" s="14">
        <f>M22/'CURRENT WEEK'!B22</f>
        <v>2</v>
      </c>
      <c r="O22" s="4">
        <f t="shared" si="5"/>
        <v>9</v>
      </c>
      <c r="P22" s="4">
        <f>'(pass off)'!H42</f>
        <v>4</v>
      </c>
      <c r="Q22" s="4">
        <f>'(pass off)'!I42</f>
        <v>101.5</v>
      </c>
      <c r="R22" s="4">
        <f>'(pass off)'!J42</f>
        <v>114</v>
      </c>
      <c r="S22" s="4">
        <f>'(pass off)'!K42</f>
        <v>38.1</v>
      </c>
      <c r="T22" s="4">
        <f>'(pass off)'!L42</f>
        <v>29</v>
      </c>
      <c r="U22" s="4">
        <f>'(pass off)'!M42</f>
        <v>5</v>
      </c>
      <c r="V22" s="4">
        <f>'(pass off)'!N42</f>
        <v>59</v>
      </c>
      <c r="W22" s="4">
        <f>'(pass off)'!O42</f>
        <v>19</v>
      </c>
      <c r="X22" s="4">
        <f>'(pass off)'!P42</f>
        <v>138</v>
      </c>
    </row>
    <row r="23" spans="1:24" x14ac:dyDescent="0.2">
      <c r="A23" s="8" t="s">
        <v>48</v>
      </c>
      <c r="B23" s="4">
        <f>'(pass off)'!B44</f>
        <v>321</v>
      </c>
      <c r="C23" s="14">
        <f>B23/'CURRENT WEEK'!B23</f>
        <v>35.666666666666664</v>
      </c>
      <c r="D23" s="4">
        <f t="shared" si="1"/>
        <v>15</v>
      </c>
      <c r="E23" s="4">
        <f>'(pass off)'!C44</f>
        <v>185</v>
      </c>
      <c r="F23" s="4">
        <f>'(pass off)'!D44</f>
        <v>57.6</v>
      </c>
      <c r="G23" s="4">
        <f t="shared" si="2"/>
        <v>32</v>
      </c>
      <c r="H23" s="13">
        <f t="shared" si="0"/>
        <v>6.2897196261682247</v>
      </c>
      <c r="I23" s="4">
        <f t="shared" si="3"/>
        <v>30</v>
      </c>
      <c r="J23" s="4">
        <f>'(pass off)'!F44</f>
        <v>2019</v>
      </c>
      <c r="K23" s="14">
        <f>J23/'CURRENT WEEK'!B23</f>
        <v>224.33333333333334</v>
      </c>
      <c r="L23" s="4">
        <f t="shared" si="4"/>
        <v>28</v>
      </c>
      <c r="M23" s="4">
        <f>'(pass off)'!G44</f>
        <v>7</v>
      </c>
      <c r="N23" s="14">
        <f>M23/'CURRENT WEEK'!B23</f>
        <v>0.77777777777777779</v>
      </c>
      <c r="O23" s="4">
        <f t="shared" si="5"/>
        <v>31</v>
      </c>
      <c r="P23" s="4">
        <f>'(pass off)'!H44</f>
        <v>11</v>
      </c>
      <c r="Q23" s="4">
        <f>'(pass off)'!I44</f>
        <v>69.3</v>
      </c>
      <c r="R23" s="4">
        <f>'(pass off)'!J44</f>
        <v>100</v>
      </c>
      <c r="S23" s="4">
        <f>'(pass off)'!K44</f>
        <v>31.2</v>
      </c>
      <c r="T23" s="4">
        <f>'(pass off)'!L44</f>
        <v>26</v>
      </c>
      <c r="U23" s="4">
        <f>'(pass off)'!M44</f>
        <v>3</v>
      </c>
      <c r="V23" s="4" t="str">
        <f>'(pass off)'!N44</f>
        <v>57T</v>
      </c>
      <c r="W23" s="4">
        <f>'(pass off)'!O44</f>
        <v>25</v>
      </c>
      <c r="X23" s="4">
        <f>'(pass off)'!P44</f>
        <v>145</v>
      </c>
    </row>
    <row r="24" spans="1:24" x14ac:dyDescent="0.2">
      <c r="A24" s="8" t="s">
        <v>50</v>
      </c>
      <c r="B24" s="4">
        <f>'(pass off)'!B46</f>
        <v>307</v>
      </c>
      <c r="C24" s="14">
        <f>B24/'CURRENT WEEK'!B24</f>
        <v>34.111111111111114</v>
      </c>
      <c r="D24" s="4">
        <f t="shared" si="1"/>
        <v>19</v>
      </c>
      <c r="E24" s="4">
        <f>'(pass off)'!C46</f>
        <v>210</v>
      </c>
      <c r="F24" s="4">
        <f>'(pass off)'!D46</f>
        <v>68.400000000000006</v>
      </c>
      <c r="G24" s="4">
        <f t="shared" si="2"/>
        <v>5</v>
      </c>
      <c r="H24" s="13">
        <f t="shared" si="0"/>
        <v>7.4397394136807815</v>
      </c>
      <c r="I24" s="4">
        <f t="shared" si="3"/>
        <v>11</v>
      </c>
      <c r="J24" s="4">
        <f>'(pass off)'!F46</f>
        <v>2284</v>
      </c>
      <c r="K24" s="14">
        <f>J24/'CURRENT WEEK'!B24</f>
        <v>253.77777777777777</v>
      </c>
      <c r="L24" s="4">
        <f t="shared" si="4"/>
        <v>16</v>
      </c>
      <c r="M24" s="4">
        <f>'(pass off)'!G46</f>
        <v>11</v>
      </c>
      <c r="N24" s="14">
        <f>M24/'CURRENT WEEK'!B24</f>
        <v>1.2222222222222223</v>
      </c>
      <c r="O24" s="4">
        <f t="shared" si="5"/>
        <v>24</v>
      </c>
      <c r="P24" s="4">
        <f>'(pass off)'!H46</f>
        <v>7</v>
      </c>
      <c r="Q24" s="4">
        <f>'(pass off)'!I46</f>
        <v>92.5</v>
      </c>
      <c r="R24" s="4">
        <f>'(pass off)'!J46</f>
        <v>102</v>
      </c>
      <c r="S24" s="4">
        <f>'(pass off)'!K46</f>
        <v>33.200000000000003</v>
      </c>
      <c r="T24" s="4">
        <f>'(pass off)'!L46</f>
        <v>36</v>
      </c>
      <c r="U24" s="4">
        <f>'(pass off)'!M46</f>
        <v>4</v>
      </c>
      <c r="V24" s="4" t="str">
        <f>'(pass off)'!N46</f>
        <v>75T</v>
      </c>
      <c r="W24" s="4">
        <f>'(pass off)'!O46</f>
        <v>17</v>
      </c>
      <c r="X24" s="4">
        <f>'(pass off)'!P46</f>
        <v>135</v>
      </c>
    </row>
    <row r="25" spans="1:24" x14ac:dyDescent="0.2">
      <c r="A25" s="8" t="s">
        <v>51</v>
      </c>
      <c r="B25" s="4">
        <f>'(pass off)'!B48</f>
        <v>312</v>
      </c>
      <c r="C25" s="14">
        <f>B25/'CURRENT WEEK'!B25</f>
        <v>39</v>
      </c>
      <c r="D25" s="4">
        <f t="shared" si="1"/>
        <v>7</v>
      </c>
      <c r="E25" s="4">
        <f>'(pass off)'!C48</f>
        <v>210</v>
      </c>
      <c r="F25" s="4">
        <f>'(pass off)'!D48</f>
        <v>67.3</v>
      </c>
      <c r="G25" s="4">
        <f t="shared" si="2"/>
        <v>11</v>
      </c>
      <c r="H25" s="13">
        <f t="shared" si="0"/>
        <v>8.2211538461538467</v>
      </c>
      <c r="I25" s="4">
        <f t="shared" si="3"/>
        <v>5</v>
      </c>
      <c r="J25" s="4">
        <f>'(pass off)'!F48</f>
        <v>2565</v>
      </c>
      <c r="K25" s="14">
        <f>J25/'CURRENT WEEK'!B25</f>
        <v>320.625</v>
      </c>
      <c r="L25" s="4">
        <f t="shared" si="4"/>
        <v>2</v>
      </c>
      <c r="M25" s="4">
        <f>'(pass off)'!G48</f>
        <v>13</v>
      </c>
      <c r="N25" s="14">
        <f>M25/'CURRENT WEEK'!B25</f>
        <v>1.625</v>
      </c>
      <c r="O25" s="4">
        <f t="shared" si="5"/>
        <v>15</v>
      </c>
      <c r="P25" s="4">
        <f>'(pass off)'!H48</f>
        <v>7</v>
      </c>
      <c r="Q25" s="4">
        <f>'(pass off)'!I48</f>
        <v>97</v>
      </c>
      <c r="R25" s="4">
        <f>'(pass off)'!J48</f>
        <v>109</v>
      </c>
      <c r="S25" s="4">
        <f>'(pass off)'!K48</f>
        <v>34.9</v>
      </c>
      <c r="T25" s="4">
        <f>'(pass off)'!L48</f>
        <v>42</v>
      </c>
      <c r="U25" s="4">
        <f>'(pass off)'!M48</f>
        <v>6</v>
      </c>
      <c r="V25" s="4" t="str">
        <f>'(pass off)'!N48</f>
        <v>61T</v>
      </c>
      <c r="W25" s="4">
        <f>'(pass off)'!O48</f>
        <v>18</v>
      </c>
      <c r="X25" s="4">
        <f>'(pass off)'!P48</f>
        <v>124</v>
      </c>
    </row>
    <row r="26" spans="1:24" x14ac:dyDescent="0.2">
      <c r="A26" s="8" t="s">
        <v>53</v>
      </c>
      <c r="B26" s="4">
        <f>'(pass off)'!B50</f>
        <v>325</v>
      </c>
      <c r="C26" s="14">
        <f>B26/'CURRENT WEEK'!B26</f>
        <v>36.111111111111114</v>
      </c>
      <c r="D26" s="4">
        <f t="shared" si="1"/>
        <v>14</v>
      </c>
      <c r="E26" s="4">
        <f>'(pass off)'!C50</f>
        <v>220</v>
      </c>
      <c r="F26" s="4">
        <f>'(pass off)'!D50</f>
        <v>67.7</v>
      </c>
      <c r="G26" s="4">
        <f t="shared" si="2"/>
        <v>9</v>
      </c>
      <c r="H26" s="13">
        <f t="shared" si="0"/>
        <v>8.5415384615384617</v>
      </c>
      <c r="I26" s="4">
        <f t="shared" si="3"/>
        <v>4</v>
      </c>
      <c r="J26" s="4">
        <f>'(pass off)'!F50</f>
        <v>2776</v>
      </c>
      <c r="K26" s="14">
        <f>J26/'CURRENT WEEK'!B26</f>
        <v>308.44444444444446</v>
      </c>
      <c r="L26" s="4">
        <f t="shared" si="4"/>
        <v>3</v>
      </c>
      <c r="M26" s="4">
        <f>'(pass off)'!G50</f>
        <v>23</v>
      </c>
      <c r="N26" s="14">
        <f>M26/'CURRENT WEEK'!B26</f>
        <v>2.5555555555555554</v>
      </c>
      <c r="O26" s="4">
        <f t="shared" si="5"/>
        <v>2</v>
      </c>
      <c r="P26" s="4">
        <f>'(pass off)'!H50</f>
        <v>7</v>
      </c>
      <c r="Q26" s="4">
        <f>'(pass off)'!I50</f>
        <v>108.7</v>
      </c>
      <c r="R26" s="4">
        <f>'(pass off)'!J50</f>
        <v>137</v>
      </c>
      <c r="S26" s="4">
        <f>'(pass off)'!K50</f>
        <v>42.2</v>
      </c>
      <c r="T26" s="4">
        <f>'(pass off)'!L50</f>
        <v>38</v>
      </c>
      <c r="U26" s="4">
        <f>'(pass off)'!M50</f>
        <v>10</v>
      </c>
      <c r="V26" s="4" t="str">
        <f>'(pass off)'!N50</f>
        <v>75T</v>
      </c>
      <c r="W26" s="4">
        <f>'(pass off)'!O50</f>
        <v>13</v>
      </c>
      <c r="X26" s="4">
        <f>'(pass off)'!P50</f>
        <v>109</v>
      </c>
    </row>
    <row r="27" spans="1:24" x14ac:dyDescent="0.2">
      <c r="A27" s="8" t="s">
        <v>54</v>
      </c>
      <c r="B27" s="4">
        <f>'(pass off)'!B52</f>
        <v>277</v>
      </c>
      <c r="C27" s="14">
        <f>B27/'CURRENT WEEK'!B27</f>
        <v>34.625</v>
      </c>
      <c r="D27" s="4">
        <f t="shared" si="1"/>
        <v>18</v>
      </c>
      <c r="E27" s="4">
        <f>'(pass off)'!C52</f>
        <v>178</v>
      </c>
      <c r="F27" s="4">
        <f>'(pass off)'!D52</f>
        <v>64.3</v>
      </c>
      <c r="G27" s="4">
        <f t="shared" si="2"/>
        <v>23</v>
      </c>
      <c r="H27" s="13">
        <f t="shared" si="0"/>
        <v>8.115523465703971</v>
      </c>
      <c r="I27" s="4">
        <f t="shared" si="3"/>
        <v>8</v>
      </c>
      <c r="J27" s="4">
        <f>'(pass off)'!F52</f>
        <v>2248</v>
      </c>
      <c r="K27" s="14">
        <f>J27/'CURRENT WEEK'!B27</f>
        <v>281</v>
      </c>
      <c r="L27" s="4">
        <f t="shared" si="4"/>
        <v>9</v>
      </c>
      <c r="M27" s="4">
        <f>'(pass off)'!G52</f>
        <v>13</v>
      </c>
      <c r="N27" s="14">
        <f>M27/'CURRENT WEEK'!B27</f>
        <v>1.625</v>
      </c>
      <c r="O27" s="4">
        <f t="shared" si="5"/>
        <v>15</v>
      </c>
      <c r="P27" s="4">
        <f>'(pass off)'!H52</f>
        <v>7</v>
      </c>
      <c r="Q27" s="4">
        <f>'(pass off)'!I52</f>
        <v>94.6</v>
      </c>
      <c r="R27" s="4">
        <f>'(pass off)'!J52</f>
        <v>107</v>
      </c>
      <c r="S27" s="4">
        <f>'(pass off)'!K52</f>
        <v>38.6</v>
      </c>
      <c r="T27" s="4">
        <f>'(pass off)'!L52</f>
        <v>36</v>
      </c>
      <c r="U27" s="4">
        <f>'(pass off)'!M52</f>
        <v>5</v>
      </c>
      <c r="V27" s="4" t="str">
        <f>'(pass off)'!N52</f>
        <v>49T</v>
      </c>
      <c r="W27" s="4">
        <f>'(pass off)'!O52</f>
        <v>24</v>
      </c>
      <c r="X27" s="4">
        <f>'(pass off)'!P52</f>
        <v>118</v>
      </c>
    </row>
    <row r="28" spans="1:24" x14ac:dyDescent="0.2">
      <c r="A28" s="8" t="s">
        <v>55</v>
      </c>
      <c r="B28" s="4">
        <f>'(pass off)'!B54</f>
        <v>237</v>
      </c>
      <c r="C28" s="14">
        <f>B28/'CURRENT WEEK'!B28</f>
        <v>29.625</v>
      </c>
      <c r="D28" s="4">
        <f t="shared" si="1"/>
        <v>29</v>
      </c>
      <c r="E28" s="4">
        <f>'(pass off)'!C54</f>
        <v>141</v>
      </c>
      <c r="F28" s="4">
        <f>'(pass off)'!D54</f>
        <v>59.5</v>
      </c>
      <c r="G28" s="4">
        <f t="shared" si="2"/>
        <v>31</v>
      </c>
      <c r="H28" s="13">
        <f t="shared" si="0"/>
        <v>6.8481012658227849</v>
      </c>
      <c r="I28" s="4">
        <f t="shared" si="3"/>
        <v>25</v>
      </c>
      <c r="J28" s="4">
        <f>'(pass off)'!F54</f>
        <v>1623</v>
      </c>
      <c r="K28" s="14">
        <f>J28/'CURRENT WEEK'!B28</f>
        <v>202.875</v>
      </c>
      <c r="L28" s="4">
        <f t="shared" si="4"/>
        <v>31</v>
      </c>
      <c r="M28" s="4">
        <f>'(pass off)'!G54</f>
        <v>17</v>
      </c>
      <c r="N28" s="14">
        <f>M28/'CURRENT WEEK'!B28</f>
        <v>2.125</v>
      </c>
      <c r="O28" s="4">
        <f t="shared" si="5"/>
        <v>7</v>
      </c>
      <c r="P28" s="4">
        <f>'(pass off)'!H54</f>
        <v>4</v>
      </c>
      <c r="Q28" s="4">
        <f>'(pass off)'!I54</f>
        <v>97.1</v>
      </c>
      <c r="R28" s="4">
        <f>'(pass off)'!J54</f>
        <v>85</v>
      </c>
      <c r="S28" s="4">
        <f>'(pass off)'!K54</f>
        <v>35.9</v>
      </c>
      <c r="T28" s="4">
        <f>'(pass off)'!L54</f>
        <v>15</v>
      </c>
      <c r="U28" s="4">
        <f>'(pass off)'!M54</f>
        <v>4</v>
      </c>
      <c r="V28" s="4" t="str">
        <f>'(pass off)'!N54</f>
        <v>72T</v>
      </c>
      <c r="W28" s="4">
        <f>'(pass off)'!O54</f>
        <v>13</v>
      </c>
      <c r="X28" s="4">
        <f>'(pass off)'!P54</f>
        <v>90</v>
      </c>
    </row>
    <row r="29" spans="1:24" x14ac:dyDescent="0.2">
      <c r="A29" s="8" t="s">
        <v>56</v>
      </c>
      <c r="B29" s="4">
        <f>'(pass off)'!B56</f>
        <v>220</v>
      </c>
      <c r="C29" s="14">
        <f>B29/'CURRENT WEEK'!B29</f>
        <v>27.5</v>
      </c>
      <c r="D29" s="4">
        <f t="shared" si="1"/>
        <v>31</v>
      </c>
      <c r="E29" s="4">
        <f>'(pass off)'!C56</f>
        <v>155</v>
      </c>
      <c r="F29" s="4">
        <f>'(pass off)'!D56</f>
        <v>70.5</v>
      </c>
      <c r="G29" s="4">
        <f t="shared" si="2"/>
        <v>2</v>
      </c>
      <c r="H29" s="13">
        <f t="shared" si="0"/>
        <v>8.627272727272727</v>
      </c>
      <c r="I29" s="4">
        <f t="shared" si="3"/>
        <v>3</v>
      </c>
      <c r="J29" s="4">
        <f>'(pass off)'!F56</f>
        <v>1898</v>
      </c>
      <c r="K29" s="14">
        <f>J29/'CURRENT WEEK'!B29</f>
        <v>237.25</v>
      </c>
      <c r="L29" s="4">
        <f t="shared" si="4"/>
        <v>25</v>
      </c>
      <c r="M29" s="4">
        <f>'(pass off)'!G56</f>
        <v>15</v>
      </c>
      <c r="N29" s="14">
        <f>M29/'CURRENT WEEK'!B29</f>
        <v>1.875</v>
      </c>
      <c r="O29" s="4">
        <f t="shared" si="5"/>
        <v>13</v>
      </c>
      <c r="P29" s="4">
        <f>'(pass off)'!H56</f>
        <v>2</v>
      </c>
      <c r="Q29" s="4">
        <f>'(pass off)'!I56</f>
        <v>115.7</v>
      </c>
      <c r="R29" s="4">
        <f>'(pass off)'!J56</f>
        <v>79</v>
      </c>
      <c r="S29" s="4">
        <f>'(pass off)'!K56</f>
        <v>35.9</v>
      </c>
      <c r="T29" s="4">
        <f>'(pass off)'!L56</f>
        <v>28</v>
      </c>
      <c r="U29" s="4">
        <f>'(pass off)'!M56</f>
        <v>6</v>
      </c>
      <c r="V29" s="4" t="str">
        <f>'(pass off)'!N56</f>
        <v>84T</v>
      </c>
      <c r="W29" s="4">
        <f>'(pass off)'!O56</f>
        <v>26</v>
      </c>
      <c r="X29" s="4">
        <f>'(pass off)'!P56</f>
        <v>209</v>
      </c>
    </row>
    <row r="30" spans="1:24" x14ac:dyDescent="0.2">
      <c r="A30" s="8" t="s">
        <v>58</v>
      </c>
      <c r="B30" s="4">
        <f>'(pass off)'!B58</f>
        <v>300</v>
      </c>
      <c r="C30" s="14">
        <f>B30/'CURRENT WEEK'!B30</f>
        <v>37.5</v>
      </c>
      <c r="D30" s="4">
        <f t="shared" si="1"/>
        <v>11</v>
      </c>
      <c r="E30" s="4">
        <f>'(pass off)'!C58</f>
        <v>196</v>
      </c>
      <c r="F30" s="4">
        <f>'(pass off)'!D58</f>
        <v>65.3</v>
      </c>
      <c r="G30" s="4">
        <f t="shared" si="2"/>
        <v>19</v>
      </c>
      <c r="H30" s="13">
        <f t="shared" si="0"/>
        <v>6.62</v>
      </c>
      <c r="I30" s="4">
        <f t="shared" si="3"/>
        <v>27</v>
      </c>
      <c r="J30" s="4">
        <f>'(pass off)'!F58</f>
        <v>1986</v>
      </c>
      <c r="K30" s="14">
        <f>J30/'CURRENT WEEK'!B30</f>
        <v>248.25</v>
      </c>
      <c r="L30" s="4">
        <f t="shared" si="4"/>
        <v>19</v>
      </c>
      <c r="M30" s="4">
        <f>'(pass off)'!G58</f>
        <v>10</v>
      </c>
      <c r="N30" s="14">
        <f>M30/'CURRENT WEEK'!B30</f>
        <v>1.25</v>
      </c>
      <c r="O30" s="4">
        <f t="shared" si="5"/>
        <v>23</v>
      </c>
      <c r="P30" s="4">
        <f>'(pass off)'!H58</f>
        <v>4</v>
      </c>
      <c r="Q30" s="4">
        <f>'(pass off)'!I58</f>
        <v>89.7</v>
      </c>
      <c r="R30" s="4">
        <f>'(pass off)'!J58</f>
        <v>96</v>
      </c>
      <c r="S30" s="4">
        <f>'(pass off)'!K58</f>
        <v>32</v>
      </c>
      <c r="T30" s="4">
        <f>'(pass off)'!L58</f>
        <v>23</v>
      </c>
      <c r="U30" s="4">
        <f>'(pass off)'!M58</f>
        <v>7</v>
      </c>
      <c r="V30" s="4">
        <f>'(pass off)'!N58</f>
        <v>59</v>
      </c>
      <c r="W30" s="4">
        <f>'(pass off)'!O58</f>
        <v>18</v>
      </c>
      <c r="X30" s="4">
        <f>'(pass off)'!P58</f>
        <v>100</v>
      </c>
    </row>
    <row r="31" spans="1:24" x14ac:dyDescent="0.2">
      <c r="A31" s="8" t="s">
        <v>59</v>
      </c>
      <c r="B31" s="4">
        <f>'(pass off)'!B60</f>
        <v>298</v>
      </c>
      <c r="C31" s="14">
        <f>B31/'CURRENT WEEK'!B31</f>
        <v>33.111111111111114</v>
      </c>
      <c r="D31" s="4">
        <f t="shared" si="1"/>
        <v>23</v>
      </c>
      <c r="E31" s="4">
        <f>'(pass off)'!C60</f>
        <v>195</v>
      </c>
      <c r="F31" s="4">
        <f>'(pass off)'!D60</f>
        <v>65.400000000000006</v>
      </c>
      <c r="G31" s="4">
        <f t="shared" si="2"/>
        <v>18</v>
      </c>
      <c r="H31" s="13">
        <f t="shared" si="0"/>
        <v>6.7550335570469802</v>
      </c>
      <c r="I31" s="4">
        <f t="shared" si="3"/>
        <v>26</v>
      </c>
      <c r="J31" s="4">
        <f>'(pass off)'!F60</f>
        <v>2013</v>
      </c>
      <c r="K31" s="14">
        <f>J31/'CURRENT WEEK'!B31</f>
        <v>223.66666666666666</v>
      </c>
      <c r="L31" s="4">
        <f t="shared" si="4"/>
        <v>29</v>
      </c>
      <c r="M31" s="4">
        <f>'(pass off)'!G60</f>
        <v>10</v>
      </c>
      <c r="N31" s="14">
        <f>M31/'CURRENT WEEK'!B31</f>
        <v>1.1111111111111112</v>
      </c>
      <c r="O31" s="4">
        <f t="shared" si="5"/>
        <v>26</v>
      </c>
      <c r="P31" s="4">
        <f>'(pass off)'!H60</f>
        <v>11</v>
      </c>
      <c r="Q31" s="4">
        <f>'(pass off)'!I60</f>
        <v>80.599999999999994</v>
      </c>
      <c r="R31" s="4">
        <f>'(pass off)'!J60</f>
        <v>89</v>
      </c>
      <c r="S31" s="4">
        <f>'(pass off)'!K60</f>
        <v>29.9</v>
      </c>
      <c r="T31" s="4">
        <f>'(pass off)'!L60</f>
        <v>23</v>
      </c>
      <c r="U31" s="4">
        <f>'(pass off)'!M60</f>
        <v>5</v>
      </c>
      <c r="V31" s="4" t="str">
        <f>'(pass off)'!N60</f>
        <v>67T</v>
      </c>
      <c r="W31" s="4">
        <f>'(pass off)'!O60</f>
        <v>26</v>
      </c>
      <c r="X31" s="4">
        <f>'(pass off)'!P60</f>
        <v>174</v>
      </c>
    </row>
    <row r="32" spans="1:24" x14ac:dyDescent="0.2">
      <c r="A32" s="8" t="s">
        <v>61</v>
      </c>
      <c r="B32" s="4">
        <f>'(pass off)'!B62</f>
        <v>292</v>
      </c>
      <c r="C32" s="14">
        <f>B32/'CURRENT WEEK'!B32</f>
        <v>32.444444444444443</v>
      </c>
      <c r="D32" s="4">
        <f t="shared" si="1"/>
        <v>25</v>
      </c>
      <c r="E32" s="4">
        <f>'(pass off)'!C62</f>
        <v>193</v>
      </c>
      <c r="F32" s="4">
        <f>'(pass off)'!D62</f>
        <v>66.099999999999994</v>
      </c>
      <c r="G32" s="4">
        <f t="shared" si="2"/>
        <v>13</v>
      </c>
      <c r="H32" s="13">
        <f t="shared" si="0"/>
        <v>7.3835616438356162</v>
      </c>
      <c r="I32" s="4">
        <f t="shared" si="3"/>
        <v>13</v>
      </c>
      <c r="J32" s="4">
        <f>'(pass off)'!F62</f>
        <v>2156</v>
      </c>
      <c r="K32" s="14">
        <f>J32/'CURRENT WEEK'!B32</f>
        <v>239.55555555555554</v>
      </c>
      <c r="L32" s="4">
        <f t="shared" si="4"/>
        <v>23</v>
      </c>
      <c r="M32" s="4">
        <f>'(pass off)'!G62</f>
        <v>12</v>
      </c>
      <c r="N32" s="14">
        <f>M32/'CURRENT WEEK'!B32</f>
        <v>1.3333333333333333</v>
      </c>
      <c r="O32" s="4">
        <f t="shared" si="5"/>
        <v>21</v>
      </c>
      <c r="P32" s="4">
        <f>'(pass off)'!H62</f>
        <v>8</v>
      </c>
      <c r="Q32" s="4">
        <f>'(pass off)'!I62</f>
        <v>90.2</v>
      </c>
      <c r="R32" s="4">
        <f>'(pass off)'!J62</f>
        <v>107</v>
      </c>
      <c r="S32" s="4">
        <f>'(pass off)'!K62</f>
        <v>36.6</v>
      </c>
      <c r="T32" s="4">
        <f>'(pass off)'!L62</f>
        <v>22</v>
      </c>
      <c r="U32" s="4">
        <f>'(pass off)'!M62</f>
        <v>4</v>
      </c>
      <c r="V32" s="4" t="str">
        <f>'(pass off)'!N62</f>
        <v>57T</v>
      </c>
      <c r="W32" s="4">
        <f>'(pass off)'!O62</f>
        <v>27</v>
      </c>
      <c r="X32" s="4">
        <f>'(pass off)'!P62</f>
        <v>195</v>
      </c>
    </row>
    <row r="33" spans="1:24" x14ac:dyDescent="0.2">
      <c r="A33" s="8" t="s">
        <v>62</v>
      </c>
      <c r="B33" s="4">
        <f>'(pass off)'!B64</f>
        <v>304</v>
      </c>
      <c r="C33" s="14">
        <f>B33/'CURRENT WEEK'!B33</f>
        <v>38</v>
      </c>
      <c r="D33" s="4">
        <f t="shared" si="1"/>
        <v>9</v>
      </c>
      <c r="E33" s="4">
        <f>'(pass off)'!C64</f>
        <v>207</v>
      </c>
      <c r="F33" s="4">
        <f>'(pass off)'!D64</f>
        <v>68.099999999999994</v>
      </c>
      <c r="G33" s="4">
        <f t="shared" si="2"/>
        <v>8</v>
      </c>
      <c r="H33" s="13">
        <f t="shared" si="0"/>
        <v>7.0756578947368425</v>
      </c>
      <c r="I33" s="4">
        <f t="shared" si="3"/>
        <v>20</v>
      </c>
      <c r="J33" s="4">
        <f>'(pass off)'!F64</f>
        <v>2151</v>
      </c>
      <c r="K33" s="14">
        <f>J33/'CURRENT WEEK'!B33</f>
        <v>268.875</v>
      </c>
      <c r="L33" s="4">
        <f t="shared" si="4"/>
        <v>13</v>
      </c>
      <c r="M33" s="4">
        <f>'(pass off)'!G64</f>
        <v>16</v>
      </c>
      <c r="N33" s="14">
        <f>M33/'CURRENT WEEK'!B33</f>
        <v>2</v>
      </c>
      <c r="O33" s="4">
        <f t="shared" si="5"/>
        <v>9</v>
      </c>
      <c r="P33" s="4">
        <f>'(pass off)'!H64</f>
        <v>2</v>
      </c>
      <c r="Q33" s="4">
        <f>'(pass off)'!I64</f>
        <v>103.1</v>
      </c>
      <c r="R33" s="4">
        <f>'(pass off)'!J64</f>
        <v>96</v>
      </c>
      <c r="S33" s="4">
        <f>'(pass off)'!K64</f>
        <v>31.6</v>
      </c>
      <c r="T33" s="4">
        <f>'(pass off)'!L64</f>
        <v>31</v>
      </c>
      <c r="U33" s="4">
        <f>'(pass off)'!M64</f>
        <v>3</v>
      </c>
      <c r="V33" s="4" t="str">
        <f>'(pass off)'!N64</f>
        <v>64T</v>
      </c>
      <c r="W33" s="4">
        <f>'(pass off)'!O64</f>
        <v>10</v>
      </c>
      <c r="X33" s="4">
        <f>'(pass off)'!P64</f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15103-1FDA-E946-9305-7E4E68779FDF}">
  <sheetPr codeName="Sheet3"/>
  <dimension ref="A1:M65"/>
  <sheetViews>
    <sheetView workbookViewId="0">
      <selection sqref="A1:K65"/>
    </sheetView>
  </sheetViews>
  <sheetFormatPr baseColWidth="10" defaultRowHeight="16" x14ac:dyDescent="0.2"/>
  <sheetData>
    <row r="1" spans="1:13" x14ac:dyDescent="0.2">
      <c r="A1" s="1" t="s">
        <v>0</v>
      </c>
      <c r="B1" s="2" t="s">
        <v>1</v>
      </c>
      <c r="C1" s="2" t="s">
        <v>64</v>
      </c>
      <c r="D1" s="2" t="s">
        <v>65</v>
      </c>
      <c r="E1" s="2" t="s">
        <v>6</v>
      </c>
      <c r="F1" s="2" t="s">
        <v>11</v>
      </c>
      <c r="G1" s="2" t="s">
        <v>12</v>
      </c>
      <c r="H1" s="2" t="s">
        <v>13</v>
      </c>
      <c r="I1" s="2" t="s">
        <v>66</v>
      </c>
      <c r="J1" s="2" t="s">
        <v>67</v>
      </c>
      <c r="K1" s="2" t="s">
        <v>68</v>
      </c>
      <c r="M1" t="s">
        <v>217</v>
      </c>
    </row>
    <row r="2" spans="1:13" x14ac:dyDescent="0.2">
      <c r="A2" s="2"/>
      <c r="B2" s="40">
        <v>205</v>
      </c>
      <c r="C2" s="40">
        <v>905</v>
      </c>
      <c r="D2" s="40">
        <v>4.4000000000000004</v>
      </c>
      <c r="E2" s="40">
        <v>10</v>
      </c>
      <c r="F2" s="40">
        <v>6</v>
      </c>
      <c r="G2" s="40">
        <v>0</v>
      </c>
      <c r="H2" s="40">
        <v>39</v>
      </c>
      <c r="I2" s="40">
        <v>52</v>
      </c>
      <c r="J2" s="40">
        <v>25.4</v>
      </c>
      <c r="K2" s="40">
        <v>3</v>
      </c>
    </row>
    <row r="3" spans="1:13" x14ac:dyDescent="0.2">
      <c r="A3" s="2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</row>
    <row r="4" spans="1:13" x14ac:dyDescent="0.2">
      <c r="A4" s="2"/>
      <c r="B4" s="40">
        <v>266</v>
      </c>
      <c r="C4" s="40">
        <v>1229</v>
      </c>
      <c r="D4" s="40">
        <v>4.5999999999999996</v>
      </c>
      <c r="E4" s="40">
        <v>9</v>
      </c>
      <c r="F4" s="40">
        <v>8</v>
      </c>
      <c r="G4" s="40">
        <v>1</v>
      </c>
      <c r="H4" s="40">
        <v>41</v>
      </c>
      <c r="I4" s="40">
        <v>70</v>
      </c>
      <c r="J4" s="40">
        <v>26.3</v>
      </c>
      <c r="K4" s="40">
        <v>3</v>
      </c>
    </row>
    <row r="5" spans="1:13" x14ac:dyDescent="0.2">
      <c r="A5" s="2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</row>
    <row r="6" spans="1:13" x14ac:dyDescent="0.2">
      <c r="A6" s="2"/>
      <c r="B6" s="40">
        <v>225</v>
      </c>
      <c r="C6" s="40">
        <v>874</v>
      </c>
      <c r="D6" s="40">
        <v>3.9</v>
      </c>
      <c r="E6" s="40">
        <v>8</v>
      </c>
      <c r="F6" s="40">
        <v>4</v>
      </c>
      <c r="G6" s="40">
        <v>1</v>
      </c>
      <c r="H6" s="40" t="s">
        <v>69</v>
      </c>
      <c r="I6" s="40">
        <v>43</v>
      </c>
      <c r="J6" s="40">
        <v>19.100000000000001</v>
      </c>
      <c r="K6" s="40">
        <v>1</v>
      </c>
    </row>
    <row r="7" spans="1:13" x14ac:dyDescent="0.2">
      <c r="A7" s="2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3" x14ac:dyDescent="0.2">
      <c r="A8" s="2"/>
      <c r="B8" s="40">
        <v>216</v>
      </c>
      <c r="C8" s="40">
        <v>958</v>
      </c>
      <c r="D8" s="40">
        <v>4.4000000000000004</v>
      </c>
      <c r="E8" s="40">
        <v>8</v>
      </c>
      <c r="F8" s="40">
        <v>6</v>
      </c>
      <c r="G8" s="40">
        <v>1</v>
      </c>
      <c r="H8" s="40" t="s">
        <v>69</v>
      </c>
      <c r="I8" s="40">
        <v>55</v>
      </c>
      <c r="J8" s="40">
        <v>25.5</v>
      </c>
      <c r="K8" s="40">
        <v>5</v>
      </c>
    </row>
    <row r="9" spans="1:13" x14ac:dyDescent="0.2">
      <c r="A9" s="2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3" x14ac:dyDescent="0.2">
      <c r="A10" s="2"/>
      <c r="B10" s="40">
        <v>229</v>
      </c>
      <c r="C10" s="40">
        <v>1019</v>
      </c>
      <c r="D10" s="40">
        <v>4.4000000000000004</v>
      </c>
      <c r="E10" s="40">
        <v>6</v>
      </c>
      <c r="F10" s="40">
        <v>6</v>
      </c>
      <c r="G10" s="40">
        <v>2</v>
      </c>
      <c r="H10" s="40" t="s">
        <v>20</v>
      </c>
      <c r="I10" s="40">
        <v>57</v>
      </c>
      <c r="J10" s="40">
        <v>24.9</v>
      </c>
      <c r="K10" s="40">
        <v>3</v>
      </c>
    </row>
    <row r="11" spans="1:13" x14ac:dyDescent="0.2">
      <c r="A11" s="2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3" x14ac:dyDescent="0.2">
      <c r="A12" s="2"/>
      <c r="B12" s="40">
        <v>273</v>
      </c>
      <c r="C12" s="40">
        <v>1442</v>
      </c>
      <c r="D12" s="40">
        <v>5.3</v>
      </c>
      <c r="E12" s="40">
        <v>16</v>
      </c>
      <c r="F12" s="40">
        <v>12</v>
      </c>
      <c r="G12" s="40">
        <v>2</v>
      </c>
      <c r="H12" s="40" t="s">
        <v>20</v>
      </c>
      <c r="I12" s="40">
        <v>80</v>
      </c>
      <c r="J12" s="40">
        <v>29.3</v>
      </c>
      <c r="K12" s="40">
        <v>5</v>
      </c>
    </row>
    <row r="13" spans="1:13" x14ac:dyDescent="0.2">
      <c r="A13" s="2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3" x14ac:dyDescent="0.2">
      <c r="A14" s="2"/>
      <c r="B14" s="40">
        <v>179</v>
      </c>
      <c r="C14" s="40">
        <v>765</v>
      </c>
      <c r="D14" s="40">
        <v>4.3</v>
      </c>
      <c r="E14" s="40">
        <v>7</v>
      </c>
      <c r="F14" s="40">
        <v>3</v>
      </c>
      <c r="G14" s="40">
        <v>0</v>
      </c>
      <c r="H14" s="40">
        <v>24</v>
      </c>
      <c r="I14" s="40">
        <v>45</v>
      </c>
      <c r="J14" s="40">
        <v>25.1</v>
      </c>
      <c r="K14" s="40">
        <v>2</v>
      </c>
    </row>
    <row r="15" spans="1:13" x14ac:dyDescent="0.2">
      <c r="A15" s="2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</row>
    <row r="16" spans="1:13" x14ac:dyDescent="0.2">
      <c r="A16" s="2"/>
      <c r="B16" s="40">
        <v>284</v>
      </c>
      <c r="C16" s="40">
        <v>1193</v>
      </c>
      <c r="D16" s="40">
        <v>4.2</v>
      </c>
      <c r="E16" s="40">
        <v>15</v>
      </c>
      <c r="F16" s="40">
        <v>5</v>
      </c>
      <c r="G16" s="40">
        <v>2</v>
      </c>
      <c r="H16" s="40">
        <v>54</v>
      </c>
      <c r="I16" s="40">
        <v>74</v>
      </c>
      <c r="J16" s="40">
        <v>26.1</v>
      </c>
      <c r="K16" s="40">
        <v>9</v>
      </c>
    </row>
    <row r="17" spans="1:11" x14ac:dyDescent="0.2">
      <c r="A17" s="2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 x14ac:dyDescent="0.2">
      <c r="A18" s="2"/>
      <c r="B18" s="40">
        <v>186</v>
      </c>
      <c r="C18" s="40">
        <v>820</v>
      </c>
      <c r="D18" s="40">
        <v>4.4000000000000004</v>
      </c>
      <c r="E18" s="40">
        <v>7</v>
      </c>
      <c r="F18" s="40">
        <v>5</v>
      </c>
      <c r="G18" s="40">
        <v>1</v>
      </c>
      <c r="H18" s="40">
        <v>75</v>
      </c>
      <c r="I18" s="40">
        <v>53</v>
      </c>
      <c r="J18" s="40">
        <v>28.5</v>
      </c>
      <c r="K18" s="40">
        <v>1</v>
      </c>
    </row>
    <row r="19" spans="1:11" x14ac:dyDescent="0.2">
      <c r="A19" s="2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 x14ac:dyDescent="0.2">
      <c r="A20" s="2"/>
      <c r="B20" s="40">
        <v>219</v>
      </c>
      <c r="C20" s="40">
        <v>1011</v>
      </c>
      <c r="D20" s="40">
        <v>4.5999999999999996</v>
      </c>
      <c r="E20" s="40">
        <v>6</v>
      </c>
      <c r="F20" s="40">
        <v>3</v>
      </c>
      <c r="G20" s="40">
        <v>0</v>
      </c>
      <c r="H20" s="40">
        <v>24</v>
      </c>
      <c r="I20" s="40">
        <v>63</v>
      </c>
      <c r="J20" s="40">
        <v>28.8</v>
      </c>
      <c r="K20" s="40">
        <v>5</v>
      </c>
    </row>
    <row r="21" spans="1:11" x14ac:dyDescent="0.2">
      <c r="A21" s="2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 x14ac:dyDescent="0.2">
      <c r="A22" s="2"/>
      <c r="B22" s="40">
        <v>242</v>
      </c>
      <c r="C22" s="40">
        <v>1236</v>
      </c>
      <c r="D22" s="40">
        <v>5.0999999999999996</v>
      </c>
      <c r="E22" s="40">
        <v>11</v>
      </c>
      <c r="F22" s="40">
        <v>10</v>
      </c>
      <c r="G22" s="40">
        <v>2</v>
      </c>
      <c r="H22" s="40">
        <v>83</v>
      </c>
      <c r="I22" s="40">
        <v>75</v>
      </c>
      <c r="J22" s="40">
        <v>31</v>
      </c>
      <c r="K22" s="40">
        <v>5</v>
      </c>
    </row>
    <row r="23" spans="1:11" x14ac:dyDescent="0.2">
      <c r="A23" s="2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 x14ac:dyDescent="0.2">
      <c r="A24" s="2"/>
      <c r="B24" s="40">
        <v>234</v>
      </c>
      <c r="C24" s="40">
        <v>1142</v>
      </c>
      <c r="D24" s="40">
        <v>4.9000000000000004</v>
      </c>
      <c r="E24" s="40">
        <v>6</v>
      </c>
      <c r="F24" s="40">
        <v>5</v>
      </c>
      <c r="G24" s="40">
        <v>1</v>
      </c>
      <c r="H24" s="40">
        <v>47</v>
      </c>
      <c r="I24" s="40">
        <v>57</v>
      </c>
      <c r="J24" s="40">
        <v>24.4</v>
      </c>
      <c r="K24" s="40">
        <v>3</v>
      </c>
    </row>
    <row r="25" spans="1:11" x14ac:dyDescent="0.2">
      <c r="A25" s="2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 x14ac:dyDescent="0.2">
      <c r="A26" s="2"/>
      <c r="B26" s="40">
        <v>192</v>
      </c>
      <c r="C26" s="40">
        <v>676</v>
      </c>
      <c r="D26" s="40">
        <v>3.5</v>
      </c>
      <c r="E26" s="40">
        <v>5</v>
      </c>
      <c r="F26" s="40">
        <v>1</v>
      </c>
      <c r="G26" s="40">
        <v>0</v>
      </c>
      <c r="H26" s="40" t="s">
        <v>71</v>
      </c>
      <c r="I26" s="40">
        <v>39</v>
      </c>
      <c r="J26" s="40">
        <v>20.3</v>
      </c>
      <c r="K26" s="40">
        <v>2</v>
      </c>
    </row>
    <row r="27" spans="1:11" x14ac:dyDescent="0.2">
      <c r="A27" s="2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 x14ac:dyDescent="0.2">
      <c r="A28" s="2"/>
      <c r="B28" s="40">
        <v>249</v>
      </c>
      <c r="C28" s="40">
        <v>1229</v>
      </c>
      <c r="D28" s="40">
        <v>4.9000000000000004</v>
      </c>
      <c r="E28" s="40">
        <v>14</v>
      </c>
      <c r="F28" s="40">
        <v>6</v>
      </c>
      <c r="G28" s="40">
        <v>0</v>
      </c>
      <c r="H28" s="40">
        <v>27</v>
      </c>
      <c r="I28" s="40">
        <v>82</v>
      </c>
      <c r="J28" s="40">
        <v>32.9</v>
      </c>
      <c r="K28" s="40">
        <v>3</v>
      </c>
    </row>
    <row r="29" spans="1:11" x14ac:dyDescent="0.2">
      <c r="A29" s="2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 x14ac:dyDescent="0.2">
      <c r="A30" s="2"/>
      <c r="B30" s="40">
        <v>190</v>
      </c>
      <c r="C30" s="40">
        <v>643</v>
      </c>
      <c r="D30" s="40">
        <v>3.4</v>
      </c>
      <c r="E30" s="40">
        <v>4</v>
      </c>
      <c r="F30" s="40">
        <v>0</v>
      </c>
      <c r="G30" s="40">
        <v>0</v>
      </c>
      <c r="H30" s="40">
        <v>18</v>
      </c>
      <c r="I30" s="40">
        <v>32</v>
      </c>
      <c r="J30" s="40">
        <v>16.8</v>
      </c>
      <c r="K30" s="40">
        <v>6</v>
      </c>
    </row>
    <row r="31" spans="1:11" x14ac:dyDescent="0.2">
      <c r="A31" s="2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</row>
    <row r="32" spans="1:11" x14ac:dyDescent="0.2">
      <c r="A32" s="2"/>
      <c r="B32" s="40">
        <v>207</v>
      </c>
      <c r="C32" s="40">
        <v>945</v>
      </c>
      <c r="D32" s="40">
        <v>4.5999999999999996</v>
      </c>
      <c r="E32" s="40">
        <v>5</v>
      </c>
      <c r="F32" s="40">
        <v>4</v>
      </c>
      <c r="G32" s="40">
        <v>0</v>
      </c>
      <c r="H32" s="40">
        <v>38</v>
      </c>
      <c r="I32" s="40">
        <v>57</v>
      </c>
      <c r="J32" s="40">
        <v>27.5</v>
      </c>
      <c r="K32" s="40">
        <v>6</v>
      </c>
    </row>
    <row r="33" spans="1:11" x14ac:dyDescent="0.2">
      <c r="A33" s="2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</row>
    <row r="34" spans="1:11" x14ac:dyDescent="0.2">
      <c r="A34" s="2"/>
      <c r="B34" s="40">
        <v>220</v>
      </c>
      <c r="C34" s="40">
        <v>863</v>
      </c>
      <c r="D34" s="40">
        <v>3.9</v>
      </c>
      <c r="E34" s="40">
        <v>7</v>
      </c>
      <c r="F34" s="40">
        <v>4</v>
      </c>
      <c r="G34" s="40">
        <v>2</v>
      </c>
      <c r="H34" s="40">
        <v>46</v>
      </c>
      <c r="I34" s="40">
        <v>46</v>
      </c>
      <c r="J34" s="40">
        <v>20.9</v>
      </c>
      <c r="K34" s="40">
        <v>3</v>
      </c>
    </row>
    <row r="35" spans="1:11" x14ac:dyDescent="0.2">
      <c r="A35" s="2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</row>
    <row r="36" spans="1:11" x14ac:dyDescent="0.2">
      <c r="A36" s="2"/>
      <c r="B36" s="40">
        <v>187</v>
      </c>
      <c r="C36" s="40">
        <v>892</v>
      </c>
      <c r="D36" s="40">
        <v>4.8</v>
      </c>
      <c r="E36" s="40">
        <v>7</v>
      </c>
      <c r="F36" s="40">
        <v>4</v>
      </c>
      <c r="G36" s="40">
        <v>1</v>
      </c>
      <c r="H36" s="40">
        <v>58</v>
      </c>
      <c r="I36" s="40">
        <v>49</v>
      </c>
      <c r="J36" s="40">
        <v>26.2</v>
      </c>
      <c r="K36" s="40">
        <v>1</v>
      </c>
    </row>
    <row r="37" spans="1:11" x14ac:dyDescent="0.2">
      <c r="A37" s="2" t="s">
        <v>44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</row>
    <row r="38" spans="1:11" x14ac:dyDescent="0.2">
      <c r="A38" s="2"/>
      <c r="B38" s="40">
        <v>169</v>
      </c>
      <c r="C38" s="40">
        <v>617</v>
      </c>
      <c r="D38" s="40">
        <v>3.7</v>
      </c>
      <c r="E38" s="40">
        <v>5</v>
      </c>
      <c r="F38" s="40">
        <v>0</v>
      </c>
      <c r="G38" s="40">
        <v>0</v>
      </c>
      <c r="H38" s="40" t="s">
        <v>236</v>
      </c>
      <c r="I38" s="40">
        <v>36</v>
      </c>
      <c r="J38" s="40">
        <v>21.3</v>
      </c>
      <c r="K38" s="40">
        <v>1</v>
      </c>
    </row>
    <row r="39" spans="1:11" x14ac:dyDescent="0.2">
      <c r="A39" s="2" t="s">
        <v>45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</row>
    <row r="40" spans="1:11" x14ac:dyDescent="0.2">
      <c r="A40" s="2"/>
      <c r="B40" s="40">
        <v>183</v>
      </c>
      <c r="C40" s="40">
        <v>745</v>
      </c>
      <c r="D40" s="40">
        <v>4.0999999999999996</v>
      </c>
      <c r="E40" s="40">
        <v>6</v>
      </c>
      <c r="F40" s="40">
        <v>3</v>
      </c>
      <c r="G40" s="40">
        <v>0</v>
      </c>
      <c r="H40" s="40">
        <v>28</v>
      </c>
      <c r="I40" s="40">
        <v>46</v>
      </c>
      <c r="J40" s="40">
        <v>25.1</v>
      </c>
      <c r="K40" s="40">
        <v>3</v>
      </c>
    </row>
    <row r="41" spans="1:11" x14ac:dyDescent="0.2">
      <c r="A41" s="2" t="s">
        <v>46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 x14ac:dyDescent="0.2">
      <c r="A42" s="2"/>
      <c r="B42" s="40">
        <v>231</v>
      </c>
      <c r="C42" s="40">
        <v>987</v>
      </c>
      <c r="D42" s="40">
        <v>4.3</v>
      </c>
      <c r="E42" s="40">
        <v>5</v>
      </c>
      <c r="F42" s="40">
        <v>4</v>
      </c>
      <c r="G42" s="40">
        <v>1</v>
      </c>
      <c r="H42" s="40">
        <v>57</v>
      </c>
      <c r="I42" s="40">
        <v>54</v>
      </c>
      <c r="J42" s="40">
        <v>23.4</v>
      </c>
      <c r="K42" s="40">
        <v>3</v>
      </c>
    </row>
    <row r="43" spans="1:11" x14ac:dyDescent="0.2">
      <c r="A43" s="2" t="s">
        <v>47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 x14ac:dyDescent="0.2">
      <c r="A44" s="2"/>
      <c r="B44" s="40">
        <v>257</v>
      </c>
      <c r="C44" s="40">
        <v>994</v>
      </c>
      <c r="D44" s="40">
        <v>3.9</v>
      </c>
      <c r="E44" s="40">
        <v>9</v>
      </c>
      <c r="F44" s="40">
        <v>3</v>
      </c>
      <c r="G44" s="40">
        <v>0</v>
      </c>
      <c r="H44" s="40">
        <v>30</v>
      </c>
      <c r="I44" s="40">
        <v>62</v>
      </c>
      <c r="J44" s="40">
        <v>24.1</v>
      </c>
      <c r="K44" s="40">
        <v>3</v>
      </c>
    </row>
    <row r="45" spans="1:11" x14ac:dyDescent="0.2">
      <c r="A45" s="2" t="s">
        <v>48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 x14ac:dyDescent="0.2">
      <c r="A46" s="2"/>
      <c r="B46" s="40">
        <v>246</v>
      </c>
      <c r="C46" s="40">
        <v>961</v>
      </c>
      <c r="D46" s="40">
        <v>3.9</v>
      </c>
      <c r="E46" s="40">
        <v>11</v>
      </c>
      <c r="F46" s="40">
        <v>6</v>
      </c>
      <c r="G46" s="40">
        <v>0</v>
      </c>
      <c r="H46" s="40">
        <v>35</v>
      </c>
      <c r="I46" s="40">
        <v>63</v>
      </c>
      <c r="J46" s="40">
        <v>25.6</v>
      </c>
      <c r="K46" s="40">
        <v>3</v>
      </c>
    </row>
    <row r="47" spans="1:11" x14ac:dyDescent="0.2">
      <c r="A47" s="2" t="s">
        <v>50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 x14ac:dyDescent="0.2">
      <c r="A48" s="2"/>
      <c r="B48" s="40">
        <v>193</v>
      </c>
      <c r="C48" s="40">
        <v>715</v>
      </c>
      <c r="D48" s="40">
        <v>3.7</v>
      </c>
      <c r="E48" s="40">
        <v>8</v>
      </c>
      <c r="F48" s="40">
        <v>3</v>
      </c>
      <c r="G48" s="40">
        <v>0</v>
      </c>
      <c r="H48" s="40">
        <v>31</v>
      </c>
      <c r="I48" s="40">
        <v>44</v>
      </c>
      <c r="J48" s="40">
        <v>22.8</v>
      </c>
      <c r="K48" s="40">
        <v>4</v>
      </c>
    </row>
    <row r="49" spans="1:11" x14ac:dyDescent="0.2">
      <c r="A49" s="2" t="s">
        <v>51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1" x14ac:dyDescent="0.2">
      <c r="A50" s="2"/>
      <c r="B50" s="40">
        <v>233</v>
      </c>
      <c r="C50" s="40">
        <v>927</v>
      </c>
      <c r="D50" s="40">
        <v>4</v>
      </c>
      <c r="E50" s="40">
        <v>7</v>
      </c>
      <c r="F50" s="40">
        <v>1</v>
      </c>
      <c r="G50" s="40">
        <v>0</v>
      </c>
      <c r="H50" s="40">
        <v>29</v>
      </c>
      <c r="I50" s="40">
        <v>53</v>
      </c>
      <c r="J50" s="40">
        <v>22.7</v>
      </c>
      <c r="K50" s="40">
        <v>2</v>
      </c>
    </row>
    <row r="51" spans="1:11" x14ac:dyDescent="0.2">
      <c r="A51" s="2" t="s">
        <v>53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1" x14ac:dyDescent="0.2">
      <c r="A52" s="2"/>
      <c r="B52" s="40">
        <v>259</v>
      </c>
      <c r="C52" s="40">
        <v>1293</v>
      </c>
      <c r="D52" s="40">
        <v>5</v>
      </c>
      <c r="E52" s="40">
        <v>11</v>
      </c>
      <c r="F52" s="40">
        <v>8</v>
      </c>
      <c r="G52" s="40">
        <v>0</v>
      </c>
      <c r="H52" s="40" t="s">
        <v>72</v>
      </c>
      <c r="I52" s="40">
        <v>83</v>
      </c>
      <c r="J52" s="40">
        <v>32</v>
      </c>
      <c r="K52" s="40">
        <v>4</v>
      </c>
    </row>
    <row r="53" spans="1:11" x14ac:dyDescent="0.2">
      <c r="A53" s="2" t="s">
        <v>54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1" x14ac:dyDescent="0.2">
      <c r="A54" s="2"/>
      <c r="B54" s="40">
        <v>244</v>
      </c>
      <c r="C54" s="40">
        <v>984</v>
      </c>
      <c r="D54" s="40">
        <v>4</v>
      </c>
      <c r="E54" s="40">
        <v>7</v>
      </c>
      <c r="F54" s="40">
        <v>3</v>
      </c>
      <c r="G54" s="40">
        <v>0</v>
      </c>
      <c r="H54" s="40" t="s">
        <v>73</v>
      </c>
      <c r="I54" s="40">
        <v>58</v>
      </c>
      <c r="J54" s="40">
        <v>23.8</v>
      </c>
      <c r="K54" s="40">
        <v>0</v>
      </c>
    </row>
    <row r="55" spans="1:11" x14ac:dyDescent="0.2">
      <c r="A55" s="2" t="s">
        <v>55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</row>
    <row r="56" spans="1:11" x14ac:dyDescent="0.2">
      <c r="A56" s="2"/>
      <c r="B56" s="40">
        <v>196</v>
      </c>
      <c r="C56" s="40">
        <v>823</v>
      </c>
      <c r="D56" s="40">
        <v>4.2</v>
      </c>
      <c r="E56" s="40">
        <v>7</v>
      </c>
      <c r="F56" s="40">
        <v>5</v>
      </c>
      <c r="G56" s="40">
        <v>0</v>
      </c>
      <c r="H56" s="40">
        <v>33</v>
      </c>
      <c r="I56" s="40">
        <v>46</v>
      </c>
      <c r="J56" s="40">
        <v>23.5</v>
      </c>
      <c r="K56" s="40">
        <v>1</v>
      </c>
    </row>
    <row r="57" spans="1:11" x14ac:dyDescent="0.2">
      <c r="A57" s="2" t="s">
        <v>56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</row>
    <row r="58" spans="1:11" x14ac:dyDescent="0.2">
      <c r="A58" s="2"/>
      <c r="B58" s="40">
        <v>195</v>
      </c>
      <c r="C58" s="40">
        <v>707</v>
      </c>
      <c r="D58" s="40">
        <v>3.6</v>
      </c>
      <c r="E58" s="40">
        <v>6</v>
      </c>
      <c r="F58" s="40">
        <v>4</v>
      </c>
      <c r="G58" s="40">
        <v>0</v>
      </c>
      <c r="H58" s="40">
        <v>25</v>
      </c>
      <c r="I58" s="40">
        <v>40</v>
      </c>
      <c r="J58" s="40">
        <v>20.5</v>
      </c>
      <c r="K58" s="40">
        <v>0</v>
      </c>
    </row>
    <row r="59" spans="1:11" x14ac:dyDescent="0.2">
      <c r="A59" s="2" t="s">
        <v>58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 x14ac:dyDescent="0.2">
      <c r="A60" s="2"/>
      <c r="B60" s="40">
        <v>204</v>
      </c>
      <c r="C60" s="40">
        <v>682</v>
      </c>
      <c r="D60" s="40">
        <v>3.3</v>
      </c>
      <c r="E60" s="40">
        <v>4</v>
      </c>
      <c r="F60" s="40">
        <v>3</v>
      </c>
      <c r="G60" s="40">
        <v>0</v>
      </c>
      <c r="H60" s="40">
        <v>35</v>
      </c>
      <c r="I60" s="40">
        <v>31</v>
      </c>
      <c r="J60" s="40">
        <v>15.2</v>
      </c>
      <c r="K60" s="40">
        <v>2</v>
      </c>
    </row>
    <row r="61" spans="1:11" x14ac:dyDescent="0.2">
      <c r="A61" s="2" t="s">
        <v>59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 x14ac:dyDescent="0.2">
      <c r="A62" s="2"/>
      <c r="B62" s="40">
        <v>286</v>
      </c>
      <c r="C62" s="40">
        <v>1250</v>
      </c>
      <c r="D62" s="40">
        <v>4.4000000000000004</v>
      </c>
      <c r="E62" s="40">
        <v>15</v>
      </c>
      <c r="F62" s="40">
        <v>4</v>
      </c>
      <c r="G62" s="40">
        <v>2</v>
      </c>
      <c r="H62" s="40" t="s">
        <v>34</v>
      </c>
      <c r="I62" s="40">
        <v>73</v>
      </c>
      <c r="J62" s="40">
        <v>25.5</v>
      </c>
      <c r="K62" s="40">
        <v>1</v>
      </c>
    </row>
    <row r="63" spans="1:11" x14ac:dyDescent="0.2">
      <c r="A63" s="2" t="s">
        <v>61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</row>
    <row r="64" spans="1:11" x14ac:dyDescent="0.2">
      <c r="A64" s="2"/>
      <c r="B64" s="40">
        <v>218</v>
      </c>
      <c r="C64" s="40">
        <v>999</v>
      </c>
      <c r="D64" s="40">
        <v>4.5999999999999996</v>
      </c>
      <c r="E64" s="40">
        <v>3</v>
      </c>
      <c r="F64" s="40">
        <v>7</v>
      </c>
      <c r="G64" s="40">
        <v>2</v>
      </c>
      <c r="H64" s="40">
        <v>66</v>
      </c>
      <c r="I64" s="40">
        <v>52</v>
      </c>
      <c r="J64" s="40">
        <v>23.9</v>
      </c>
      <c r="K64" s="40">
        <v>4</v>
      </c>
    </row>
    <row r="65" spans="1:11" x14ac:dyDescent="0.2">
      <c r="A65" s="2" t="s">
        <v>62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</row>
  </sheetData>
  <mergeCells count="320">
    <mergeCell ref="H2:H3"/>
    <mergeCell ref="I2:I3"/>
    <mergeCell ref="J2:J3"/>
    <mergeCell ref="K2:K3"/>
    <mergeCell ref="B4:B5"/>
    <mergeCell ref="C4:C5"/>
    <mergeCell ref="D4:D5"/>
    <mergeCell ref="E4:E5"/>
    <mergeCell ref="F4:F5"/>
    <mergeCell ref="G4:G5"/>
    <mergeCell ref="B2:B3"/>
    <mergeCell ref="C2:C3"/>
    <mergeCell ref="D2:D3"/>
    <mergeCell ref="E2:E3"/>
    <mergeCell ref="F2:F3"/>
    <mergeCell ref="G2:G3"/>
    <mergeCell ref="H4:H5"/>
    <mergeCell ref="I4:I5"/>
    <mergeCell ref="J4:J5"/>
    <mergeCell ref="K4:K5"/>
    <mergeCell ref="K6:K7"/>
    <mergeCell ref="B8:B9"/>
    <mergeCell ref="C8:C9"/>
    <mergeCell ref="D8:D9"/>
    <mergeCell ref="E8:E9"/>
    <mergeCell ref="F8:F9"/>
    <mergeCell ref="G8:G9"/>
    <mergeCell ref="H8:H9"/>
    <mergeCell ref="I8:I9"/>
    <mergeCell ref="J8:J9"/>
    <mergeCell ref="K8:K9"/>
    <mergeCell ref="B6:B7"/>
    <mergeCell ref="C6:C7"/>
    <mergeCell ref="D6:D7"/>
    <mergeCell ref="E6:E7"/>
    <mergeCell ref="F6:F7"/>
    <mergeCell ref="G6:G7"/>
    <mergeCell ref="H6:H7"/>
    <mergeCell ref="I6:I7"/>
    <mergeCell ref="J6:J7"/>
    <mergeCell ref="K10:K11"/>
    <mergeCell ref="B12:B13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B10:B11"/>
    <mergeCell ref="C10:C11"/>
    <mergeCell ref="D10:D11"/>
    <mergeCell ref="E10:E11"/>
    <mergeCell ref="F10:F11"/>
    <mergeCell ref="G10:G11"/>
    <mergeCell ref="H10:H11"/>
    <mergeCell ref="I10:I11"/>
    <mergeCell ref="J10:J11"/>
    <mergeCell ref="K14:K15"/>
    <mergeCell ref="B16:B17"/>
    <mergeCell ref="C16:C17"/>
    <mergeCell ref="D16:D17"/>
    <mergeCell ref="E16:E17"/>
    <mergeCell ref="F16:F17"/>
    <mergeCell ref="G16:G17"/>
    <mergeCell ref="H16:H17"/>
    <mergeCell ref="I16:I17"/>
    <mergeCell ref="J16:J17"/>
    <mergeCell ref="K16:K17"/>
    <mergeCell ref="B14:B15"/>
    <mergeCell ref="C14:C15"/>
    <mergeCell ref="D14:D15"/>
    <mergeCell ref="E14:E15"/>
    <mergeCell ref="F14:F15"/>
    <mergeCell ref="G14:G15"/>
    <mergeCell ref="H14:H15"/>
    <mergeCell ref="I14:I15"/>
    <mergeCell ref="J14:J15"/>
    <mergeCell ref="K18:K19"/>
    <mergeCell ref="B20:B21"/>
    <mergeCell ref="C20:C21"/>
    <mergeCell ref="D20:D21"/>
    <mergeCell ref="E20:E21"/>
    <mergeCell ref="F20:F21"/>
    <mergeCell ref="G20:G21"/>
    <mergeCell ref="H20:H21"/>
    <mergeCell ref="I20:I21"/>
    <mergeCell ref="J20:J21"/>
    <mergeCell ref="K20:K21"/>
    <mergeCell ref="B18:B19"/>
    <mergeCell ref="C18:C19"/>
    <mergeCell ref="D18:D19"/>
    <mergeCell ref="E18:E19"/>
    <mergeCell ref="F18:F19"/>
    <mergeCell ref="G18:G19"/>
    <mergeCell ref="H18:H19"/>
    <mergeCell ref="I18:I19"/>
    <mergeCell ref="J18:J19"/>
    <mergeCell ref="K22:K23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K24:K25"/>
    <mergeCell ref="B22:B23"/>
    <mergeCell ref="C22:C23"/>
    <mergeCell ref="D22:D23"/>
    <mergeCell ref="E22:E23"/>
    <mergeCell ref="F22:F23"/>
    <mergeCell ref="G22:G23"/>
    <mergeCell ref="H22:H23"/>
    <mergeCell ref="I22:I23"/>
    <mergeCell ref="J22:J23"/>
    <mergeCell ref="K26:K27"/>
    <mergeCell ref="B28:B29"/>
    <mergeCell ref="C28:C29"/>
    <mergeCell ref="D28:D29"/>
    <mergeCell ref="E28:E29"/>
    <mergeCell ref="F28:F29"/>
    <mergeCell ref="G28:G29"/>
    <mergeCell ref="H28:H29"/>
    <mergeCell ref="I28:I29"/>
    <mergeCell ref="J28:J29"/>
    <mergeCell ref="K28:K29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  <mergeCell ref="K30:K31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B30:B31"/>
    <mergeCell ref="C30:C31"/>
    <mergeCell ref="D30:D31"/>
    <mergeCell ref="E30:E31"/>
    <mergeCell ref="F30:F31"/>
    <mergeCell ref="G30:G31"/>
    <mergeCell ref="H30:H31"/>
    <mergeCell ref="I30:I31"/>
    <mergeCell ref="J30:J31"/>
    <mergeCell ref="K34:K35"/>
    <mergeCell ref="B36:B37"/>
    <mergeCell ref="C36:C37"/>
    <mergeCell ref="D36:D37"/>
    <mergeCell ref="E36:E37"/>
    <mergeCell ref="F36:F37"/>
    <mergeCell ref="G36:G37"/>
    <mergeCell ref="H36:H37"/>
    <mergeCell ref="I36:I37"/>
    <mergeCell ref="J36:J37"/>
    <mergeCell ref="K36:K37"/>
    <mergeCell ref="B34:B35"/>
    <mergeCell ref="C34:C35"/>
    <mergeCell ref="D34:D35"/>
    <mergeCell ref="E34:E35"/>
    <mergeCell ref="F34:F35"/>
    <mergeCell ref="G34:G35"/>
    <mergeCell ref="H34:H35"/>
    <mergeCell ref="I34:I35"/>
    <mergeCell ref="J34:J35"/>
    <mergeCell ref="K38:K39"/>
    <mergeCell ref="B40:B41"/>
    <mergeCell ref="C40:C41"/>
    <mergeCell ref="D40:D41"/>
    <mergeCell ref="E40:E41"/>
    <mergeCell ref="F40:F41"/>
    <mergeCell ref="G40:G41"/>
    <mergeCell ref="H40:H41"/>
    <mergeCell ref="I40:I41"/>
    <mergeCell ref="J40:J41"/>
    <mergeCell ref="K40:K41"/>
    <mergeCell ref="B38:B39"/>
    <mergeCell ref="C38:C39"/>
    <mergeCell ref="D38:D39"/>
    <mergeCell ref="E38:E39"/>
    <mergeCell ref="F38:F39"/>
    <mergeCell ref="G38:G39"/>
    <mergeCell ref="H38:H39"/>
    <mergeCell ref="I38:I39"/>
    <mergeCell ref="J38:J39"/>
    <mergeCell ref="K42:K43"/>
    <mergeCell ref="B44:B45"/>
    <mergeCell ref="C44:C45"/>
    <mergeCell ref="D44:D45"/>
    <mergeCell ref="E44:E45"/>
    <mergeCell ref="F44:F45"/>
    <mergeCell ref="G44:G45"/>
    <mergeCell ref="H44:H45"/>
    <mergeCell ref="I44:I45"/>
    <mergeCell ref="J44:J45"/>
    <mergeCell ref="K44:K45"/>
    <mergeCell ref="B42:B43"/>
    <mergeCell ref="C42:C43"/>
    <mergeCell ref="D42:D43"/>
    <mergeCell ref="E42:E43"/>
    <mergeCell ref="F42:F43"/>
    <mergeCell ref="G42:G43"/>
    <mergeCell ref="H42:H43"/>
    <mergeCell ref="I42:I43"/>
    <mergeCell ref="J42:J43"/>
    <mergeCell ref="K46:K47"/>
    <mergeCell ref="B48:B49"/>
    <mergeCell ref="C48:C49"/>
    <mergeCell ref="D48:D49"/>
    <mergeCell ref="E48:E49"/>
    <mergeCell ref="F48:F49"/>
    <mergeCell ref="G48:G49"/>
    <mergeCell ref="H48:H49"/>
    <mergeCell ref="I48:I49"/>
    <mergeCell ref="J48:J49"/>
    <mergeCell ref="K48:K49"/>
    <mergeCell ref="B46:B47"/>
    <mergeCell ref="C46:C47"/>
    <mergeCell ref="D46:D47"/>
    <mergeCell ref="E46:E47"/>
    <mergeCell ref="F46:F47"/>
    <mergeCell ref="G46:G47"/>
    <mergeCell ref="H46:H47"/>
    <mergeCell ref="I46:I47"/>
    <mergeCell ref="J46:J47"/>
    <mergeCell ref="K50:K51"/>
    <mergeCell ref="B52:B53"/>
    <mergeCell ref="C52:C53"/>
    <mergeCell ref="D52:D53"/>
    <mergeCell ref="E52:E53"/>
    <mergeCell ref="F52:F53"/>
    <mergeCell ref="G52:G53"/>
    <mergeCell ref="H52:H53"/>
    <mergeCell ref="I52:I53"/>
    <mergeCell ref="J52:J53"/>
    <mergeCell ref="K52:K53"/>
    <mergeCell ref="B50:B51"/>
    <mergeCell ref="C50:C51"/>
    <mergeCell ref="D50:D51"/>
    <mergeCell ref="E50:E51"/>
    <mergeCell ref="F50:F51"/>
    <mergeCell ref="G50:G51"/>
    <mergeCell ref="H50:H51"/>
    <mergeCell ref="I50:I51"/>
    <mergeCell ref="J50:J51"/>
    <mergeCell ref="K54:K55"/>
    <mergeCell ref="B56:B57"/>
    <mergeCell ref="C56:C57"/>
    <mergeCell ref="D56:D57"/>
    <mergeCell ref="E56:E57"/>
    <mergeCell ref="F56:F57"/>
    <mergeCell ref="G56:G57"/>
    <mergeCell ref="H56:H57"/>
    <mergeCell ref="I56:I57"/>
    <mergeCell ref="J56:J57"/>
    <mergeCell ref="K56:K57"/>
    <mergeCell ref="B54:B55"/>
    <mergeCell ref="C54:C55"/>
    <mergeCell ref="D54:D55"/>
    <mergeCell ref="E54:E55"/>
    <mergeCell ref="F54:F55"/>
    <mergeCell ref="G54:G55"/>
    <mergeCell ref="H54:H55"/>
    <mergeCell ref="I54:I55"/>
    <mergeCell ref="J54:J55"/>
    <mergeCell ref="K58:K59"/>
    <mergeCell ref="B60:B61"/>
    <mergeCell ref="C60:C61"/>
    <mergeCell ref="D60:D61"/>
    <mergeCell ref="E60:E61"/>
    <mergeCell ref="F60:F61"/>
    <mergeCell ref="G60:G61"/>
    <mergeCell ref="H60:H61"/>
    <mergeCell ref="I60:I61"/>
    <mergeCell ref="J60:J61"/>
    <mergeCell ref="K60:K61"/>
    <mergeCell ref="B58:B59"/>
    <mergeCell ref="C58:C59"/>
    <mergeCell ref="D58:D59"/>
    <mergeCell ref="E58:E59"/>
    <mergeCell ref="F58:F59"/>
    <mergeCell ref="G58:G59"/>
    <mergeCell ref="H58:H59"/>
    <mergeCell ref="I58:I59"/>
    <mergeCell ref="J58:J59"/>
    <mergeCell ref="K64:K65"/>
    <mergeCell ref="H62:H63"/>
    <mergeCell ref="I62:I63"/>
    <mergeCell ref="J62:J63"/>
    <mergeCell ref="K62:K63"/>
    <mergeCell ref="B64:B65"/>
    <mergeCell ref="C64:C65"/>
    <mergeCell ref="D64:D65"/>
    <mergeCell ref="E64:E65"/>
    <mergeCell ref="F64:F65"/>
    <mergeCell ref="G64:G65"/>
    <mergeCell ref="B62:B63"/>
    <mergeCell ref="C62:C63"/>
    <mergeCell ref="D62:D63"/>
    <mergeCell ref="E62:E63"/>
    <mergeCell ref="F62:F63"/>
    <mergeCell ref="G62:G63"/>
    <mergeCell ref="H64:H65"/>
    <mergeCell ref="I64:I65"/>
    <mergeCell ref="J64:J6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DF277-F22B-0444-A772-0B726B823C01}">
  <sheetPr codeName="Sheet4"/>
  <dimension ref="A1:W33"/>
  <sheetViews>
    <sheetView workbookViewId="0">
      <selection activeCell="L33" sqref="L33"/>
    </sheetView>
  </sheetViews>
  <sheetFormatPr baseColWidth="10" defaultRowHeight="16" x14ac:dyDescent="0.2"/>
  <cols>
    <col min="1" max="1" width="13" bestFit="1" customWidth="1"/>
  </cols>
  <sheetData>
    <row r="1" spans="1:23" s="3" customFormat="1" ht="19" x14ac:dyDescent="0.2">
      <c r="A1" s="7" t="s">
        <v>0</v>
      </c>
      <c r="B1" s="6" t="s">
        <v>1</v>
      </c>
      <c r="C1" s="11" t="s">
        <v>175</v>
      </c>
      <c r="D1" s="11" t="s">
        <v>79</v>
      </c>
      <c r="E1" s="6" t="s">
        <v>64</v>
      </c>
      <c r="F1" s="11" t="s">
        <v>176</v>
      </c>
      <c r="G1" s="11" t="s">
        <v>79</v>
      </c>
      <c r="H1" s="11" t="s">
        <v>65</v>
      </c>
      <c r="I1" s="11" t="s">
        <v>79</v>
      </c>
      <c r="J1" s="6" t="s">
        <v>6</v>
      </c>
      <c r="K1" s="11" t="s">
        <v>174</v>
      </c>
      <c r="L1" s="11" t="s">
        <v>79</v>
      </c>
      <c r="M1" s="6" t="s">
        <v>11</v>
      </c>
      <c r="N1" s="6" t="s">
        <v>12</v>
      </c>
      <c r="O1" s="6" t="s">
        <v>13</v>
      </c>
      <c r="P1" s="6" t="s">
        <v>66</v>
      </c>
      <c r="Q1" s="6" t="s">
        <v>67</v>
      </c>
      <c r="R1" s="6" t="s">
        <v>68</v>
      </c>
      <c r="S1" s="9"/>
      <c r="T1" s="9"/>
      <c r="U1" s="9"/>
      <c r="V1" s="9"/>
      <c r="W1" s="9"/>
    </row>
    <row r="2" spans="1:23" x14ac:dyDescent="0.2">
      <c r="A2" s="8" t="s">
        <v>16</v>
      </c>
      <c r="B2" s="4">
        <f>'(rush off)'!B2</f>
        <v>205</v>
      </c>
      <c r="C2" s="14">
        <f>B2/'CURRENT WEEK'!B2</f>
        <v>25.625</v>
      </c>
      <c r="D2" s="4">
        <f>RANK(C2,$C$2:$C$33)</f>
        <v>17</v>
      </c>
      <c r="E2" s="4">
        <f>'(rush off)'!C2</f>
        <v>905</v>
      </c>
      <c r="F2" s="14">
        <f>E2/'CURRENT WEEK'!B2</f>
        <v>113.125</v>
      </c>
      <c r="G2" s="4">
        <f>RANK(F2,$F$2:$F$33)</f>
        <v>14</v>
      </c>
      <c r="H2" s="13">
        <f>E2/B2</f>
        <v>4.4146341463414638</v>
      </c>
      <c r="I2" s="4">
        <f>RANK(H2,$H$2:$H$33)</f>
        <v>13</v>
      </c>
      <c r="J2" s="4">
        <f>'(rush off)'!E2</f>
        <v>10</v>
      </c>
      <c r="K2" s="14">
        <f>J2/'CURRENT WEEK'!B2</f>
        <v>1.25</v>
      </c>
      <c r="L2" s="4">
        <f>RANK(K2,$K$2:$K$33)</f>
        <v>6</v>
      </c>
      <c r="M2" s="4">
        <f>'(rush off)'!F2</f>
        <v>6</v>
      </c>
      <c r="N2" s="4">
        <f>'(rush off)'!G2</f>
        <v>0</v>
      </c>
      <c r="O2" s="4">
        <f>'(rush off)'!H2</f>
        <v>39</v>
      </c>
      <c r="P2" s="4">
        <f>'(rush off)'!I2</f>
        <v>52</v>
      </c>
      <c r="Q2" s="4">
        <f>'(rush off)'!J2</f>
        <v>25.4</v>
      </c>
      <c r="R2" s="4">
        <f>'(rush off)'!K2</f>
        <v>3</v>
      </c>
      <c r="S2" s="4"/>
      <c r="T2" s="4"/>
      <c r="U2" s="4"/>
      <c r="V2" s="4"/>
      <c r="W2" s="4"/>
    </row>
    <row r="3" spans="1:23" x14ac:dyDescent="0.2">
      <c r="A3" s="8" t="s">
        <v>18</v>
      </c>
      <c r="B3" s="4">
        <f>'(rush off)'!B4</f>
        <v>266</v>
      </c>
      <c r="C3" s="14">
        <f>B3/'CURRENT WEEK'!B3</f>
        <v>29.555555555555557</v>
      </c>
      <c r="D3" s="4">
        <f t="shared" ref="D3:D33" si="0">RANK(C3,$C$2:$C$33)</f>
        <v>6</v>
      </c>
      <c r="E3" s="4">
        <f>'(rush off)'!C4</f>
        <v>1229</v>
      </c>
      <c r="F3" s="14">
        <f>E3/'CURRENT WEEK'!B3</f>
        <v>136.55555555555554</v>
      </c>
      <c r="G3" s="4">
        <f t="shared" ref="G3:G33" si="1">RANK(F3,$F$2:$F$33)</f>
        <v>6</v>
      </c>
      <c r="H3" s="13">
        <f t="shared" ref="H3:H33" si="2">E3/B3</f>
        <v>4.6203007518796992</v>
      </c>
      <c r="I3" s="4">
        <f t="shared" ref="I3:I33" si="3">RANK(H3,$H$2:$H$33)</f>
        <v>7</v>
      </c>
      <c r="J3" s="4">
        <f>'(rush off)'!E4</f>
        <v>9</v>
      </c>
      <c r="K3" s="14">
        <f>J3/'CURRENT WEEK'!B3</f>
        <v>1</v>
      </c>
      <c r="L3" s="4">
        <f t="shared" ref="L3:L33" si="4">RANK(K3,$K$2:$K$33)</f>
        <v>9</v>
      </c>
      <c r="M3" s="4">
        <f>'(rush off)'!F4</f>
        <v>8</v>
      </c>
      <c r="N3" s="4">
        <f>'(rush off)'!G4</f>
        <v>1</v>
      </c>
      <c r="O3" s="4">
        <f>'(rush off)'!H4</f>
        <v>41</v>
      </c>
      <c r="P3" s="4">
        <f>'(rush off)'!I4</f>
        <v>70</v>
      </c>
      <c r="Q3" s="4">
        <f>'(rush off)'!J4</f>
        <v>26.3</v>
      </c>
      <c r="R3" s="4">
        <f>'(rush off)'!K4</f>
        <v>3</v>
      </c>
      <c r="S3" s="4"/>
      <c r="T3" s="4"/>
      <c r="U3" s="4"/>
      <c r="V3" s="4"/>
      <c r="W3" s="4"/>
    </row>
    <row r="4" spans="1:23" x14ac:dyDescent="0.2">
      <c r="A4" s="8" t="s">
        <v>19</v>
      </c>
      <c r="B4" s="4">
        <f>'(rush off)'!B6</f>
        <v>225</v>
      </c>
      <c r="C4" s="14">
        <f>B4/'CURRENT WEEK'!B4</f>
        <v>25</v>
      </c>
      <c r="D4" s="4">
        <f t="shared" si="0"/>
        <v>19</v>
      </c>
      <c r="E4" s="4">
        <f>'(rush off)'!C6</f>
        <v>874</v>
      </c>
      <c r="F4" s="14">
        <f>E4/'CURRENT WEEK'!B4</f>
        <v>97.111111111111114</v>
      </c>
      <c r="G4" s="4">
        <f t="shared" si="1"/>
        <v>23</v>
      </c>
      <c r="H4" s="13">
        <f t="shared" si="2"/>
        <v>3.8844444444444446</v>
      </c>
      <c r="I4" s="4">
        <f t="shared" si="3"/>
        <v>25</v>
      </c>
      <c r="J4" s="4">
        <f>'(rush off)'!E6</f>
        <v>8</v>
      </c>
      <c r="K4" s="14">
        <f>J4/'CURRENT WEEK'!B4</f>
        <v>0.88888888888888884</v>
      </c>
      <c r="L4" s="4">
        <f t="shared" si="4"/>
        <v>13</v>
      </c>
      <c r="M4" s="4">
        <f>'(rush off)'!F6</f>
        <v>4</v>
      </c>
      <c r="N4" s="4">
        <f>'(rush off)'!G6</f>
        <v>1</v>
      </c>
      <c r="O4" s="4" t="str">
        <f>'(rush off)'!H6</f>
        <v>46T</v>
      </c>
      <c r="P4" s="4">
        <f>'(rush off)'!I6</f>
        <v>43</v>
      </c>
      <c r="Q4" s="4">
        <f>'(rush off)'!J6</f>
        <v>19.100000000000001</v>
      </c>
      <c r="R4" s="4">
        <f>'(rush off)'!K6</f>
        <v>1</v>
      </c>
      <c r="S4" s="4"/>
      <c r="T4" s="4"/>
      <c r="U4" s="4"/>
      <c r="V4" s="4"/>
      <c r="W4" s="4"/>
    </row>
    <row r="5" spans="1:23" x14ac:dyDescent="0.2">
      <c r="A5" s="8" t="s">
        <v>21</v>
      </c>
      <c r="B5" s="4">
        <f>'(rush off)'!B8</f>
        <v>216</v>
      </c>
      <c r="C5" s="14">
        <f>B5/'CURRENT WEEK'!B5</f>
        <v>27</v>
      </c>
      <c r="D5" s="4">
        <f t="shared" si="0"/>
        <v>12</v>
      </c>
      <c r="E5" s="4">
        <f>'(rush off)'!C8</f>
        <v>958</v>
      </c>
      <c r="F5" s="14">
        <f>E5/'CURRENT WEEK'!B5</f>
        <v>119.75</v>
      </c>
      <c r="G5" s="4">
        <f t="shared" si="1"/>
        <v>11</v>
      </c>
      <c r="H5" s="13">
        <f t="shared" si="2"/>
        <v>4.4351851851851851</v>
      </c>
      <c r="I5" s="4">
        <f t="shared" si="3"/>
        <v>12</v>
      </c>
      <c r="J5" s="4">
        <f>'(rush off)'!E8</f>
        <v>8</v>
      </c>
      <c r="K5" s="14">
        <f>J5/'CURRENT WEEK'!B5</f>
        <v>1</v>
      </c>
      <c r="L5" s="4">
        <f t="shared" si="4"/>
        <v>9</v>
      </c>
      <c r="M5" s="4">
        <f>'(rush off)'!F8</f>
        <v>6</v>
      </c>
      <c r="N5" s="4">
        <f>'(rush off)'!G8</f>
        <v>1</v>
      </c>
      <c r="O5" s="4" t="str">
        <f>'(rush off)'!H8</f>
        <v>46T</v>
      </c>
      <c r="P5" s="4">
        <f>'(rush off)'!I8</f>
        <v>55</v>
      </c>
      <c r="Q5" s="4">
        <f>'(rush off)'!J8</f>
        <v>25.5</v>
      </c>
      <c r="R5" s="4">
        <f>'(rush off)'!K8</f>
        <v>5</v>
      </c>
      <c r="S5" s="4"/>
      <c r="T5" s="4"/>
      <c r="U5" s="4"/>
      <c r="V5" s="4"/>
      <c r="W5" s="4"/>
    </row>
    <row r="6" spans="1:23" x14ac:dyDescent="0.2">
      <c r="A6" s="8" t="s">
        <v>22</v>
      </c>
      <c r="B6" s="4">
        <f>'(rush off)'!B10</f>
        <v>229</v>
      </c>
      <c r="C6" s="14">
        <f>B6/'CURRENT WEEK'!B6</f>
        <v>25.444444444444443</v>
      </c>
      <c r="D6" s="4">
        <f t="shared" si="0"/>
        <v>18</v>
      </c>
      <c r="E6" s="4">
        <f>'(rush off)'!C10</f>
        <v>1019</v>
      </c>
      <c r="F6" s="14">
        <f>E6/'CURRENT WEEK'!B6</f>
        <v>113.22222222222223</v>
      </c>
      <c r="G6" s="4">
        <f t="shared" si="1"/>
        <v>13</v>
      </c>
      <c r="H6" s="13">
        <f t="shared" si="2"/>
        <v>4.4497816593886466</v>
      </c>
      <c r="I6" s="4">
        <f t="shared" si="3"/>
        <v>11</v>
      </c>
      <c r="J6" s="4">
        <f>'(rush off)'!E10</f>
        <v>6</v>
      </c>
      <c r="K6" s="14">
        <f>J6/'CURRENT WEEK'!B6</f>
        <v>0.66666666666666663</v>
      </c>
      <c r="L6" s="4">
        <f t="shared" si="4"/>
        <v>24</v>
      </c>
      <c r="M6" s="4">
        <f>'(rush off)'!F10</f>
        <v>6</v>
      </c>
      <c r="N6" s="4">
        <f>'(rush off)'!G10</f>
        <v>2</v>
      </c>
      <c r="O6" s="4" t="str">
        <f>'(rush off)'!H10</f>
        <v>70T</v>
      </c>
      <c r="P6" s="4">
        <f>'(rush off)'!I10</f>
        <v>57</v>
      </c>
      <c r="Q6" s="4">
        <f>'(rush off)'!J10</f>
        <v>24.9</v>
      </c>
      <c r="R6" s="4">
        <f>'(rush off)'!K10</f>
        <v>3</v>
      </c>
      <c r="S6" s="4"/>
      <c r="T6" s="4"/>
      <c r="U6" s="4"/>
      <c r="V6" s="4"/>
      <c r="W6" s="4"/>
    </row>
    <row r="7" spans="1:23" x14ac:dyDescent="0.2">
      <c r="A7" s="8" t="s">
        <v>23</v>
      </c>
      <c r="B7" s="4">
        <f>'(rush off)'!B12</f>
        <v>273</v>
      </c>
      <c r="C7" s="14">
        <f>B7/'CURRENT WEEK'!B7</f>
        <v>30.333333333333332</v>
      </c>
      <c r="D7" s="4">
        <f t="shared" si="0"/>
        <v>5</v>
      </c>
      <c r="E7" s="4">
        <f>'(rush off)'!C12</f>
        <v>1442</v>
      </c>
      <c r="F7" s="14">
        <f>E7/'CURRENT WEEK'!B7</f>
        <v>160.22222222222223</v>
      </c>
      <c r="G7" s="4">
        <f t="shared" si="1"/>
        <v>2</v>
      </c>
      <c r="H7" s="13">
        <f t="shared" si="2"/>
        <v>5.2820512820512819</v>
      </c>
      <c r="I7" s="4">
        <f t="shared" si="3"/>
        <v>1</v>
      </c>
      <c r="J7" s="4">
        <f>'(rush off)'!E12</f>
        <v>16</v>
      </c>
      <c r="K7" s="14">
        <f>J7/'CURRENT WEEK'!B7</f>
        <v>1.7777777777777777</v>
      </c>
      <c r="L7" s="4">
        <f t="shared" si="4"/>
        <v>1</v>
      </c>
      <c r="M7" s="4">
        <f>'(rush off)'!F12</f>
        <v>12</v>
      </c>
      <c r="N7" s="4">
        <f>'(rush off)'!G12</f>
        <v>2</v>
      </c>
      <c r="O7" s="4" t="str">
        <f>'(rush off)'!H12</f>
        <v>70T</v>
      </c>
      <c r="P7" s="4">
        <f>'(rush off)'!I12</f>
        <v>80</v>
      </c>
      <c r="Q7" s="4">
        <f>'(rush off)'!J12</f>
        <v>29.3</v>
      </c>
      <c r="R7" s="4">
        <f>'(rush off)'!K12</f>
        <v>5</v>
      </c>
      <c r="S7" s="4"/>
      <c r="T7" s="4"/>
      <c r="U7" s="4"/>
      <c r="V7" s="4"/>
      <c r="W7" s="4"/>
    </row>
    <row r="8" spans="1:23" x14ac:dyDescent="0.2">
      <c r="A8" s="8" t="s">
        <v>25</v>
      </c>
      <c r="B8" s="4">
        <f>'(rush off)'!B14</f>
        <v>179</v>
      </c>
      <c r="C8" s="14">
        <f>B8/'CURRENT WEEK'!B8</f>
        <v>22.375</v>
      </c>
      <c r="D8" s="4">
        <f t="shared" si="0"/>
        <v>30</v>
      </c>
      <c r="E8" s="4">
        <f>'(rush off)'!C14</f>
        <v>765</v>
      </c>
      <c r="F8" s="14">
        <f>E8/'CURRENT WEEK'!B8</f>
        <v>95.625</v>
      </c>
      <c r="G8" s="4">
        <f t="shared" si="1"/>
        <v>25</v>
      </c>
      <c r="H8" s="13">
        <f t="shared" si="2"/>
        <v>4.2737430167597763</v>
      </c>
      <c r="I8" s="4">
        <f t="shared" si="3"/>
        <v>16</v>
      </c>
      <c r="J8" s="4">
        <f>'(rush off)'!E14</f>
        <v>7</v>
      </c>
      <c r="K8" s="14">
        <f>J8/'CURRENT WEEK'!B8</f>
        <v>0.875</v>
      </c>
      <c r="L8" s="4">
        <f t="shared" si="4"/>
        <v>14</v>
      </c>
      <c r="M8" s="4">
        <f>'(rush off)'!F14</f>
        <v>3</v>
      </c>
      <c r="N8" s="4">
        <f>'(rush off)'!G14</f>
        <v>0</v>
      </c>
      <c r="O8" s="4">
        <f>'(rush off)'!H14</f>
        <v>24</v>
      </c>
      <c r="P8" s="4">
        <f>'(rush off)'!I14</f>
        <v>45</v>
      </c>
      <c r="Q8" s="4">
        <f>'(rush off)'!J14</f>
        <v>25.1</v>
      </c>
      <c r="R8" s="4">
        <f>'(rush off)'!K14</f>
        <v>2</v>
      </c>
      <c r="S8" s="4"/>
      <c r="T8" s="4"/>
      <c r="U8" s="4"/>
      <c r="V8" s="4"/>
      <c r="W8" s="4"/>
    </row>
    <row r="9" spans="1:23" x14ac:dyDescent="0.2">
      <c r="A9" s="8" t="s">
        <v>27</v>
      </c>
      <c r="B9" s="4">
        <f>'(rush off)'!B16</f>
        <v>284</v>
      </c>
      <c r="C9" s="14">
        <f>B9/'CURRENT WEEK'!B9</f>
        <v>31.555555555555557</v>
      </c>
      <c r="D9" s="4">
        <f t="shared" si="0"/>
        <v>3</v>
      </c>
      <c r="E9" s="4">
        <f>'(rush off)'!C16</f>
        <v>1193</v>
      </c>
      <c r="F9" s="14">
        <f>E9/'CURRENT WEEK'!B9</f>
        <v>132.55555555555554</v>
      </c>
      <c r="G9" s="4">
        <f t="shared" si="1"/>
        <v>8</v>
      </c>
      <c r="H9" s="13">
        <f t="shared" si="2"/>
        <v>4.200704225352113</v>
      </c>
      <c r="I9" s="4">
        <f t="shared" si="3"/>
        <v>18</v>
      </c>
      <c r="J9" s="4">
        <f>'(rush off)'!E16</f>
        <v>15</v>
      </c>
      <c r="K9" s="14">
        <f>J9/'CURRENT WEEK'!B9</f>
        <v>1.6666666666666667</v>
      </c>
      <c r="L9" s="4">
        <f t="shared" si="4"/>
        <v>2</v>
      </c>
      <c r="M9" s="4">
        <f>'(rush off)'!F16</f>
        <v>5</v>
      </c>
      <c r="N9" s="4">
        <f>'(rush off)'!G16</f>
        <v>2</v>
      </c>
      <c r="O9" s="4">
        <f>'(rush off)'!H16</f>
        <v>54</v>
      </c>
      <c r="P9" s="4">
        <f>'(rush off)'!I16</f>
        <v>74</v>
      </c>
      <c r="Q9" s="4">
        <f>'(rush off)'!J16</f>
        <v>26.1</v>
      </c>
      <c r="R9" s="4">
        <f>'(rush off)'!K16</f>
        <v>9</v>
      </c>
      <c r="S9" s="4"/>
      <c r="T9" s="4"/>
      <c r="U9" s="4"/>
      <c r="V9" s="4"/>
      <c r="W9" s="4"/>
    </row>
    <row r="10" spans="1:23" x14ac:dyDescent="0.2">
      <c r="A10" s="8" t="s">
        <v>29</v>
      </c>
      <c r="B10" s="4">
        <f>'(rush off)'!B18</f>
        <v>186</v>
      </c>
      <c r="C10" s="14">
        <f>B10/'CURRENT WEEK'!B10</f>
        <v>23.25</v>
      </c>
      <c r="D10" s="4">
        <f t="shared" si="0"/>
        <v>27</v>
      </c>
      <c r="E10" s="4">
        <f>'(rush off)'!C18</f>
        <v>820</v>
      </c>
      <c r="F10" s="14">
        <f>E10/'CURRENT WEEK'!B10</f>
        <v>102.5</v>
      </c>
      <c r="G10" s="4">
        <f t="shared" si="1"/>
        <v>22</v>
      </c>
      <c r="H10" s="13">
        <f t="shared" si="2"/>
        <v>4.408602150537634</v>
      </c>
      <c r="I10" s="4">
        <f t="shared" si="3"/>
        <v>14</v>
      </c>
      <c r="J10" s="4">
        <f>'(rush off)'!E18</f>
        <v>7</v>
      </c>
      <c r="K10" s="14">
        <f>J10/'CURRENT WEEK'!B10</f>
        <v>0.875</v>
      </c>
      <c r="L10" s="4">
        <f t="shared" si="4"/>
        <v>14</v>
      </c>
      <c r="M10" s="4">
        <f>'(rush off)'!F18</f>
        <v>5</v>
      </c>
      <c r="N10" s="4">
        <f>'(rush off)'!G18</f>
        <v>1</v>
      </c>
      <c r="O10" s="4">
        <f>'(rush off)'!H18</f>
        <v>75</v>
      </c>
      <c r="P10" s="4">
        <f>'(rush off)'!I18</f>
        <v>53</v>
      </c>
      <c r="Q10" s="4">
        <f>'(rush off)'!J18</f>
        <v>28.5</v>
      </c>
      <c r="R10" s="4">
        <f>'(rush off)'!K18</f>
        <v>1</v>
      </c>
      <c r="S10" s="4"/>
      <c r="T10" s="4"/>
      <c r="U10" s="4"/>
      <c r="V10" s="4"/>
      <c r="W10" s="4"/>
    </row>
    <row r="11" spans="1:23" x14ac:dyDescent="0.2">
      <c r="A11" s="8" t="s">
        <v>31</v>
      </c>
      <c r="B11" s="4">
        <f>'(rush off)'!B20</f>
        <v>219</v>
      </c>
      <c r="C11" s="14">
        <f>B11/'CURRENT WEEK'!B11</f>
        <v>24.333333333333332</v>
      </c>
      <c r="D11" s="4">
        <f t="shared" si="0"/>
        <v>23</v>
      </c>
      <c r="E11" s="4">
        <f>'(rush off)'!C20</f>
        <v>1011</v>
      </c>
      <c r="F11" s="14">
        <f>E11/'CURRENT WEEK'!B11</f>
        <v>112.33333333333333</v>
      </c>
      <c r="G11" s="4">
        <f t="shared" si="1"/>
        <v>15</v>
      </c>
      <c r="H11" s="13">
        <f t="shared" si="2"/>
        <v>4.6164383561643838</v>
      </c>
      <c r="I11" s="4">
        <f t="shared" si="3"/>
        <v>8</v>
      </c>
      <c r="J11" s="4">
        <f>'(rush off)'!E20</f>
        <v>6</v>
      </c>
      <c r="K11" s="14">
        <f>J11/'CURRENT WEEK'!B11</f>
        <v>0.66666666666666663</v>
      </c>
      <c r="L11" s="4">
        <f t="shared" si="4"/>
        <v>24</v>
      </c>
      <c r="M11" s="4">
        <f>'(rush off)'!F20</f>
        <v>3</v>
      </c>
      <c r="N11" s="4">
        <f>'(rush off)'!G20</f>
        <v>0</v>
      </c>
      <c r="O11" s="4">
        <f>'(rush off)'!H20</f>
        <v>24</v>
      </c>
      <c r="P11" s="4">
        <f>'(rush off)'!I20</f>
        <v>63</v>
      </c>
      <c r="Q11" s="4">
        <f>'(rush off)'!J20</f>
        <v>28.8</v>
      </c>
      <c r="R11" s="4">
        <f>'(rush off)'!K20</f>
        <v>5</v>
      </c>
      <c r="S11" s="4"/>
      <c r="T11" s="4"/>
      <c r="U11" s="4"/>
      <c r="V11" s="4"/>
      <c r="W11" s="4"/>
    </row>
    <row r="12" spans="1:23" x14ac:dyDescent="0.2">
      <c r="A12" s="8" t="s">
        <v>33</v>
      </c>
      <c r="B12" s="4">
        <f>'(rush off)'!B22</f>
        <v>242</v>
      </c>
      <c r="C12" s="14">
        <f>B12/'CURRENT WEEK'!B12</f>
        <v>26.888888888888889</v>
      </c>
      <c r="D12" s="4">
        <f t="shared" si="0"/>
        <v>13</v>
      </c>
      <c r="E12" s="4">
        <f>'(rush off)'!C22</f>
        <v>1236</v>
      </c>
      <c r="F12" s="14">
        <f>E12/'CURRENT WEEK'!B12</f>
        <v>137.33333333333334</v>
      </c>
      <c r="G12" s="4">
        <f t="shared" si="1"/>
        <v>5</v>
      </c>
      <c r="H12" s="13">
        <f t="shared" si="2"/>
        <v>5.1074380165289259</v>
      </c>
      <c r="I12" s="4">
        <f t="shared" si="3"/>
        <v>2</v>
      </c>
      <c r="J12" s="4">
        <f>'(rush off)'!E22</f>
        <v>11</v>
      </c>
      <c r="K12" s="14">
        <f>J12/'CURRENT WEEK'!B12</f>
        <v>1.2222222222222223</v>
      </c>
      <c r="L12" s="4">
        <f t="shared" si="4"/>
        <v>7</v>
      </c>
      <c r="M12" s="4">
        <f>'(rush off)'!F22</f>
        <v>10</v>
      </c>
      <c r="N12" s="4">
        <f>'(rush off)'!G22</f>
        <v>2</v>
      </c>
      <c r="O12" s="4">
        <f>'(rush off)'!H22</f>
        <v>83</v>
      </c>
      <c r="P12" s="4">
        <f>'(rush off)'!I22</f>
        <v>75</v>
      </c>
      <c r="Q12" s="4">
        <f>'(rush off)'!J22</f>
        <v>31</v>
      </c>
      <c r="R12" s="4">
        <f>'(rush off)'!K22</f>
        <v>5</v>
      </c>
      <c r="S12" s="4"/>
      <c r="T12" s="4"/>
      <c r="U12" s="4"/>
      <c r="V12" s="4"/>
      <c r="W12" s="4"/>
    </row>
    <row r="13" spans="1:23" x14ac:dyDescent="0.2">
      <c r="A13" s="8" t="s">
        <v>35</v>
      </c>
      <c r="B13" s="4">
        <f>'(rush off)'!B24</f>
        <v>234</v>
      </c>
      <c r="C13" s="14">
        <f>B13/'CURRENT WEEK'!B13</f>
        <v>29.25</v>
      </c>
      <c r="D13" s="4">
        <f t="shared" si="0"/>
        <v>7</v>
      </c>
      <c r="E13" s="4">
        <f>'(rush off)'!C24</f>
        <v>1142</v>
      </c>
      <c r="F13" s="14">
        <f>E13/'CURRENT WEEK'!B13</f>
        <v>142.75</v>
      </c>
      <c r="G13" s="4">
        <f t="shared" si="1"/>
        <v>3</v>
      </c>
      <c r="H13" s="13">
        <f t="shared" si="2"/>
        <v>4.8803418803418808</v>
      </c>
      <c r="I13" s="4">
        <f t="shared" si="3"/>
        <v>5</v>
      </c>
      <c r="J13" s="4">
        <f>'(rush off)'!E24</f>
        <v>6</v>
      </c>
      <c r="K13" s="14">
        <f>J13/'CURRENT WEEK'!B13</f>
        <v>0.75</v>
      </c>
      <c r="L13" s="4">
        <f t="shared" si="4"/>
        <v>21</v>
      </c>
      <c r="M13" s="4">
        <f>'(rush off)'!F24</f>
        <v>5</v>
      </c>
      <c r="N13" s="4">
        <f>'(rush off)'!G24</f>
        <v>1</v>
      </c>
      <c r="O13" s="4">
        <f>'(rush off)'!H24</f>
        <v>47</v>
      </c>
      <c r="P13" s="4">
        <f>'(rush off)'!I24</f>
        <v>57</v>
      </c>
      <c r="Q13" s="4">
        <f>'(rush off)'!J24</f>
        <v>24.4</v>
      </c>
      <c r="R13" s="4">
        <f>'(rush off)'!K24</f>
        <v>3</v>
      </c>
      <c r="S13" s="4"/>
      <c r="T13" s="4"/>
      <c r="U13" s="4"/>
      <c r="V13" s="4"/>
      <c r="W13" s="4"/>
    </row>
    <row r="14" spans="1:23" x14ac:dyDescent="0.2">
      <c r="A14" s="8" t="s">
        <v>37</v>
      </c>
      <c r="B14" s="4">
        <f>'(rush off)'!B26</f>
        <v>192</v>
      </c>
      <c r="C14" s="14">
        <f>B14/'CURRENT WEEK'!B14</f>
        <v>21.333333333333332</v>
      </c>
      <c r="D14" s="4">
        <f t="shared" si="0"/>
        <v>31</v>
      </c>
      <c r="E14" s="4">
        <f>'(rush off)'!C26</f>
        <v>676</v>
      </c>
      <c r="F14" s="14">
        <f>E14/'CURRENT WEEK'!B14</f>
        <v>75.111111111111114</v>
      </c>
      <c r="G14" s="4">
        <f t="shared" si="1"/>
        <v>32</v>
      </c>
      <c r="H14" s="13">
        <f t="shared" si="2"/>
        <v>3.5208333333333335</v>
      </c>
      <c r="I14" s="4">
        <f t="shared" si="3"/>
        <v>30</v>
      </c>
      <c r="J14" s="4">
        <f>'(rush off)'!E26</f>
        <v>5</v>
      </c>
      <c r="K14" s="14">
        <f>J14/'CURRENT WEEK'!B14</f>
        <v>0.55555555555555558</v>
      </c>
      <c r="L14" s="4">
        <f t="shared" si="4"/>
        <v>28</v>
      </c>
      <c r="M14" s="4">
        <f>'(rush off)'!F26</f>
        <v>1</v>
      </c>
      <c r="N14" s="4">
        <f>'(rush off)'!G26</f>
        <v>0</v>
      </c>
      <c r="O14" s="4" t="str">
        <f>'(rush off)'!H26</f>
        <v>24T</v>
      </c>
      <c r="P14" s="4">
        <f>'(rush off)'!I26</f>
        <v>39</v>
      </c>
      <c r="Q14" s="4">
        <f>'(rush off)'!J26</f>
        <v>20.3</v>
      </c>
      <c r="R14" s="4">
        <f>'(rush off)'!K26</f>
        <v>2</v>
      </c>
      <c r="S14" s="4"/>
      <c r="T14" s="4"/>
      <c r="U14" s="4"/>
      <c r="V14" s="4"/>
      <c r="W14" s="4"/>
    </row>
    <row r="15" spans="1:23" x14ac:dyDescent="0.2">
      <c r="A15" s="8" t="s">
        <v>38</v>
      </c>
      <c r="B15" s="4">
        <f>'(rush off)'!B28</f>
        <v>249</v>
      </c>
      <c r="C15" s="14">
        <f>B15/'CURRENT WEEK'!B15</f>
        <v>27.666666666666668</v>
      </c>
      <c r="D15" s="4">
        <f t="shared" si="0"/>
        <v>9</v>
      </c>
      <c r="E15" s="4">
        <f>'(rush off)'!C28</f>
        <v>1229</v>
      </c>
      <c r="F15" s="14">
        <f>E15/'CURRENT WEEK'!B15</f>
        <v>136.55555555555554</v>
      </c>
      <c r="G15" s="4">
        <f t="shared" si="1"/>
        <v>6</v>
      </c>
      <c r="H15" s="13">
        <f t="shared" si="2"/>
        <v>4.9357429718875503</v>
      </c>
      <c r="I15" s="4">
        <f t="shared" si="3"/>
        <v>4</v>
      </c>
      <c r="J15" s="4">
        <f>'(rush off)'!E28</f>
        <v>14</v>
      </c>
      <c r="K15" s="14">
        <f>J15/'CURRENT WEEK'!B15</f>
        <v>1.5555555555555556</v>
      </c>
      <c r="L15" s="4">
        <f t="shared" si="4"/>
        <v>4</v>
      </c>
      <c r="M15" s="4">
        <f>'(rush off)'!F28</f>
        <v>6</v>
      </c>
      <c r="N15" s="4">
        <f>'(rush off)'!G28</f>
        <v>0</v>
      </c>
      <c r="O15" s="4">
        <f>'(rush off)'!H28</f>
        <v>27</v>
      </c>
      <c r="P15" s="4">
        <f>'(rush off)'!I28</f>
        <v>82</v>
      </c>
      <c r="Q15" s="4">
        <f>'(rush off)'!J28</f>
        <v>32.9</v>
      </c>
      <c r="R15" s="4">
        <f>'(rush off)'!K28</f>
        <v>3</v>
      </c>
      <c r="S15" s="4"/>
      <c r="T15" s="4"/>
      <c r="U15" s="4"/>
      <c r="V15" s="4"/>
      <c r="W15" s="4"/>
    </row>
    <row r="16" spans="1:23" x14ac:dyDescent="0.2">
      <c r="A16" s="8" t="s">
        <v>39</v>
      </c>
      <c r="B16" s="4">
        <f>'(rush off)'!B30</f>
        <v>190</v>
      </c>
      <c r="C16" s="14">
        <f>B16/'CURRENT WEEK'!B16</f>
        <v>23.75</v>
      </c>
      <c r="D16" s="4">
        <f t="shared" si="0"/>
        <v>25</v>
      </c>
      <c r="E16" s="4">
        <f>'(rush off)'!C30</f>
        <v>643</v>
      </c>
      <c r="F16" s="14">
        <f>E16/'CURRENT WEEK'!B16</f>
        <v>80.375</v>
      </c>
      <c r="G16" s="4">
        <f t="shared" si="1"/>
        <v>29</v>
      </c>
      <c r="H16" s="13">
        <f t="shared" si="2"/>
        <v>3.3842105263157896</v>
      </c>
      <c r="I16" s="4">
        <f t="shared" si="3"/>
        <v>31</v>
      </c>
      <c r="J16" s="4">
        <f>'(rush off)'!E30</f>
        <v>4</v>
      </c>
      <c r="K16" s="14">
        <f>J16/'CURRENT WEEK'!B16</f>
        <v>0.5</v>
      </c>
      <c r="L16" s="4">
        <f t="shared" si="4"/>
        <v>30</v>
      </c>
      <c r="M16" s="4">
        <f>'(rush off)'!F30</f>
        <v>0</v>
      </c>
      <c r="N16" s="4">
        <f>'(rush off)'!G30</f>
        <v>0</v>
      </c>
      <c r="O16" s="4">
        <f>'(rush off)'!H30</f>
        <v>18</v>
      </c>
      <c r="P16" s="4">
        <f>'(rush off)'!I30</f>
        <v>32</v>
      </c>
      <c r="Q16" s="4">
        <f>'(rush off)'!J30</f>
        <v>16.8</v>
      </c>
      <c r="R16" s="4">
        <f>'(rush off)'!K30</f>
        <v>6</v>
      </c>
      <c r="S16" s="4"/>
      <c r="T16" s="4"/>
      <c r="U16" s="4"/>
      <c r="V16" s="4"/>
      <c r="W16" s="4"/>
    </row>
    <row r="17" spans="1:23" x14ac:dyDescent="0.2">
      <c r="A17" s="8" t="s">
        <v>40</v>
      </c>
      <c r="B17" s="4">
        <f>'(rush off)'!B32</f>
        <v>207</v>
      </c>
      <c r="C17" s="14">
        <f>B17/'CURRENT WEEK'!B17</f>
        <v>25.875</v>
      </c>
      <c r="D17" s="4">
        <f t="shared" si="0"/>
        <v>15</v>
      </c>
      <c r="E17" s="4">
        <f>'(rush off)'!C32</f>
        <v>945</v>
      </c>
      <c r="F17" s="14">
        <f>E17/'CURRENT WEEK'!B17</f>
        <v>118.125</v>
      </c>
      <c r="G17" s="4">
        <f t="shared" si="1"/>
        <v>12</v>
      </c>
      <c r="H17" s="13">
        <f t="shared" si="2"/>
        <v>4.5652173913043477</v>
      </c>
      <c r="I17" s="4">
        <f t="shared" si="3"/>
        <v>10</v>
      </c>
      <c r="J17" s="4">
        <f>'(rush off)'!E32</f>
        <v>5</v>
      </c>
      <c r="K17" s="14">
        <f>J17/'CURRENT WEEK'!B17</f>
        <v>0.625</v>
      </c>
      <c r="L17" s="4">
        <f t="shared" si="4"/>
        <v>26</v>
      </c>
      <c r="M17" s="4">
        <f>'(rush off)'!F32</f>
        <v>4</v>
      </c>
      <c r="N17" s="4">
        <f>'(rush off)'!G32</f>
        <v>0</v>
      </c>
      <c r="O17" s="4">
        <f>'(rush off)'!H32</f>
        <v>38</v>
      </c>
      <c r="P17" s="4">
        <f>'(rush off)'!I32</f>
        <v>57</v>
      </c>
      <c r="Q17" s="4">
        <f>'(rush off)'!J32</f>
        <v>27.5</v>
      </c>
      <c r="R17" s="4">
        <f>'(rush off)'!K32</f>
        <v>6</v>
      </c>
      <c r="S17" s="4"/>
      <c r="T17" s="4"/>
      <c r="U17" s="4"/>
      <c r="V17" s="4"/>
      <c r="W17" s="4"/>
    </row>
    <row r="18" spans="1:23" x14ac:dyDescent="0.2">
      <c r="A18" s="8" t="s">
        <v>42</v>
      </c>
      <c r="B18" s="4">
        <f>'(rush off)'!B34</f>
        <v>220</v>
      </c>
      <c r="C18" s="14">
        <f>B18/'CURRENT WEEK'!B18</f>
        <v>24.444444444444443</v>
      </c>
      <c r="D18" s="4">
        <f t="shared" si="0"/>
        <v>21</v>
      </c>
      <c r="E18" s="4">
        <f>'(rush off)'!C34</f>
        <v>863</v>
      </c>
      <c r="F18" s="14">
        <f>E18/'CURRENT WEEK'!B18</f>
        <v>95.888888888888886</v>
      </c>
      <c r="G18" s="4">
        <f t="shared" si="1"/>
        <v>24</v>
      </c>
      <c r="H18" s="13">
        <f t="shared" si="2"/>
        <v>3.9227272727272728</v>
      </c>
      <c r="I18" s="4">
        <f t="shared" si="3"/>
        <v>23</v>
      </c>
      <c r="J18" s="4">
        <f>'(rush off)'!E34</f>
        <v>7</v>
      </c>
      <c r="K18" s="14">
        <f>J18/'CURRENT WEEK'!B18</f>
        <v>0.77777777777777779</v>
      </c>
      <c r="L18" s="4">
        <f t="shared" si="4"/>
        <v>19</v>
      </c>
      <c r="M18" s="4">
        <f>'(rush off)'!F34</f>
        <v>4</v>
      </c>
      <c r="N18" s="4">
        <f>'(rush off)'!G34</f>
        <v>2</v>
      </c>
      <c r="O18" s="4">
        <f>'(rush off)'!H34</f>
        <v>46</v>
      </c>
      <c r="P18" s="4">
        <f>'(rush off)'!I34</f>
        <v>46</v>
      </c>
      <c r="Q18" s="4">
        <f>'(rush off)'!J34</f>
        <v>20.9</v>
      </c>
      <c r="R18" s="4">
        <f>'(rush off)'!K34</f>
        <v>3</v>
      </c>
      <c r="S18" s="4"/>
      <c r="T18" s="4"/>
      <c r="U18" s="4"/>
      <c r="V18" s="4"/>
      <c r="W18" s="4"/>
    </row>
    <row r="19" spans="1:23" x14ac:dyDescent="0.2">
      <c r="A19" s="8" t="s">
        <v>44</v>
      </c>
      <c r="B19" s="4">
        <f>'(rush off)'!B36</f>
        <v>187</v>
      </c>
      <c r="C19" s="14">
        <f>B19/'CURRENT WEEK'!B19</f>
        <v>23.375</v>
      </c>
      <c r="D19" s="4">
        <f t="shared" si="0"/>
        <v>26</v>
      </c>
      <c r="E19" s="4">
        <f>'(rush off)'!C36</f>
        <v>892</v>
      </c>
      <c r="F19" s="14">
        <f>E19/'CURRENT WEEK'!B19</f>
        <v>111.5</v>
      </c>
      <c r="G19" s="4">
        <f t="shared" si="1"/>
        <v>16</v>
      </c>
      <c r="H19" s="13">
        <f t="shared" si="2"/>
        <v>4.7700534759358293</v>
      </c>
      <c r="I19" s="4">
        <f t="shared" si="3"/>
        <v>6</v>
      </c>
      <c r="J19" s="4">
        <f>'(rush off)'!E36</f>
        <v>7</v>
      </c>
      <c r="K19" s="14">
        <f>J19/'CURRENT WEEK'!B19</f>
        <v>0.875</v>
      </c>
      <c r="L19" s="4">
        <f t="shared" si="4"/>
        <v>14</v>
      </c>
      <c r="M19" s="4">
        <f>'(rush off)'!F36</f>
        <v>4</v>
      </c>
      <c r="N19" s="4">
        <f>'(rush off)'!G36</f>
        <v>1</v>
      </c>
      <c r="O19" s="4">
        <f>'(rush off)'!H36</f>
        <v>58</v>
      </c>
      <c r="P19" s="4">
        <f>'(rush off)'!I36</f>
        <v>49</v>
      </c>
      <c r="Q19" s="4">
        <f>'(rush off)'!J36</f>
        <v>26.2</v>
      </c>
      <c r="R19" s="4">
        <f>'(rush off)'!K36</f>
        <v>1</v>
      </c>
      <c r="S19" s="4"/>
      <c r="T19" s="4"/>
      <c r="U19" s="4"/>
      <c r="V19" s="4"/>
      <c r="W19" s="4"/>
    </row>
    <row r="20" spans="1:23" x14ac:dyDescent="0.2">
      <c r="A20" s="8" t="s">
        <v>45</v>
      </c>
      <c r="B20" s="4">
        <f>'(rush off)'!B38</f>
        <v>169</v>
      </c>
      <c r="C20" s="14">
        <f>B20/'CURRENT WEEK'!B20</f>
        <v>21.125</v>
      </c>
      <c r="D20" s="4">
        <f t="shared" si="0"/>
        <v>32</v>
      </c>
      <c r="E20" s="4">
        <f>'(rush off)'!C38</f>
        <v>617</v>
      </c>
      <c r="F20" s="14">
        <f>E20/'CURRENT WEEK'!B20</f>
        <v>77.125</v>
      </c>
      <c r="G20" s="4">
        <f t="shared" si="1"/>
        <v>30</v>
      </c>
      <c r="H20" s="13">
        <f t="shared" si="2"/>
        <v>3.6508875739644973</v>
      </c>
      <c r="I20" s="4">
        <f t="shared" si="3"/>
        <v>28</v>
      </c>
      <c r="J20" s="4">
        <f>'(rush off)'!E38</f>
        <v>5</v>
      </c>
      <c r="K20" s="14">
        <f>J20/'CURRENT WEEK'!B20</f>
        <v>0.625</v>
      </c>
      <c r="L20" s="4">
        <f t="shared" si="4"/>
        <v>26</v>
      </c>
      <c r="M20" s="4">
        <f>'(rush off)'!F38</f>
        <v>0</v>
      </c>
      <c r="N20" s="4">
        <f>'(rush off)'!G38</f>
        <v>0</v>
      </c>
      <c r="O20" s="4" t="str">
        <f>'(rush off)'!H38</f>
        <v>19T</v>
      </c>
      <c r="P20" s="4">
        <f>'(rush off)'!I38</f>
        <v>36</v>
      </c>
      <c r="Q20" s="4">
        <f>'(rush off)'!J38</f>
        <v>21.3</v>
      </c>
      <c r="R20" s="4">
        <f>'(rush off)'!K38</f>
        <v>1</v>
      </c>
      <c r="S20" s="4"/>
      <c r="T20" s="4"/>
      <c r="U20" s="4"/>
      <c r="V20" s="4"/>
      <c r="W20" s="4"/>
    </row>
    <row r="21" spans="1:23" x14ac:dyDescent="0.2">
      <c r="A21" s="8" t="s">
        <v>46</v>
      </c>
      <c r="B21" s="4">
        <f>'(rush off)'!B40</f>
        <v>183</v>
      </c>
      <c r="C21" s="14">
        <f>B21/'CURRENT WEEK'!B21</f>
        <v>22.875</v>
      </c>
      <c r="D21" s="4">
        <f t="shared" si="0"/>
        <v>28</v>
      </c>
      <c r="E21" s="4">
        <f>'(rush off)'!C40</f>
        <v>745</v>
      </c>
      <c r="F21" s="14">
        <f>E21/'CURRENT WEEK'!B21</f>
        <v>93.125</v>
      </c>
      <c r="G21" s="4">
        <f t="shared" si="1"/>
        <v>26</v>
      </c>
      <c r="H21" s="13">
        <f t="shared" si="2"/>
        <v>4.0710382513661205</v>
      </c>
      <c r="I21" s="4">
        <f t="shared" si="3"/>
        <v>20</v>
      </c>
      <c r="J21" s="4">
        <f>'(rush off)'!E40</f>
        <v>6</v>
      </c>
      <c r="K21" s="14">
        <f>J21/'CURRENT WEEK'!B21</f>
        <v>0.75</v>
      </c>
      <c r="L21" s="4">
        <f t="shared" si="4"/>
        <v>21</v>
      </c>
      <c r="M21" s="4">
        <f>'(rush off)'!F40</f>
        <v>3</v>
      </c>
      <c r="N21" s="4">
        <f>'(rush off)'!G40</f>
        <v>0</v>
      </c>
      <c r="O21" s="4">
        <f>'(rush off)'!H40</f>
        <v>28</v>
      </c>
      <c r="P21" s="4">
        <f>'(rush off)'!I40</f>
        <v>46</v>
      </c>
      <c r="Q21" s="4">
        <f>'(rush off)'!J40</f>
        <v>25.1</v>
      </c>
      <c r="R21" s="4">
        <f>'(rush off)'!K40</f>
        <v>3</v>
      </c>
      <c r="S21" s="4"/>
      <c r="T21" s="4"/>
      <c r="U21" s="4"/>
      <c r="V21" s="4"/>
      <c r="W21" s="4"/>
    </row>
    <row r="22" spans="1:23" x14ac:dyDescent="0.2">
      <c r="A22" s="8" t="s">
        <v>47</v>
      </c>
      <c r="B22" s="4">
        <f>'(rush off)'!B42</f>
        <v>231</v>
      </c>
      <c r="C22" s="14">
        <f>B22/'CURRENT WEEK'!B22</f>
        <v>25.666666666666668</v>
      </c>
      <c r="D22" s="4">
        <f t="shared" si="0"/>
        <v>16</v>
      </c>
      <c r="E22" s="4">
        <f>'(rush off)'!C42</f>
        <v>987</v>
      </c>
      <c r="F22" s="14">
        <f>E22/'CURRENT WEEK'!B22</f>
        <v>109.66666666666667</v>
      </c>
      <c r="G22" s="4">
        <f t="shared" si="1"/>
        <v>18</v>
      </c>
      <c r="H22" s="13">
        <f t="shared" si="2"/>
        <v>4.2727272727272725</v>
      </c>
      <c r="I22" s="4">
        <f t="shared" si="3"/>
        <v>17</v>
      </c>
      <c r="J22" s="4">
        <f>'(rush off)'!E42</f>
        <v>5</v>
      </c>
      <c r="K22" s="14">
        <f>J22/'CURRENT WEEK'!B22</f>
        <v>0.55555555555555558</v>
      </c>
      <c r="L22" s="4">
        <f t="shared" si="4"/>
        <v>28</v>
      </c>
      <c r="M22" s="4">
        <f>'(rush off)'!F42</f>
        <v>4</v>
      </c>
      <c r="N22" s="4">
        <f>'(rush off)'!G42</f>
        <v>1</v>
      </c>
      <c r="O22" s="4">
        <f>'(rush off)'!H42</f>
        <v>57</v>
      </c>
      <c r="P22" s="4">
        <f>'(rush off)'!I42</f>
        <v>54</v>
      </c>
      <c r="Q22" s="4">
        <f>'(rush off)'!J42</f>
        <v>23.4</v>
      </c>
      <c r="R22" s="4">
        <f>'(rush off)'!K42</f>
        <v>3</v>
      </c>
      <c r="S22" s="4"/>
      <c r="T22" s="4"/>
      <c r="U22" s="4"/>
      <c r="V22" s="4"/>
      <c r="W22" s="4"/>
    </row>
    <row r="23" spans="1:23" x14ac:dyDescent="0.2">
      <c r="A23" s="8" t="s">
        <v>48</v>
      </c>
      <c r="B23" s="4">
        <f>'(rush off)'!B44</f>
        <v>257</v>
      </c>
      <c r="C23" s="14">
        <f>B23/'CURRENT WEEK'!B23</f>
        <v>28.555555555555557</v>
      </c>
      <c r="D23" s="4">
        <f t="shared" si="0"/>
        <v>8</v>
      </c>
      <c r="E23" s="4">
        <f>'(rush off)'!C44</f>
        <v>994</v>
      </c>
      <c r="F23" s="14">
        <f>E23/'CURRENT WEEK'!B23</f>
        <v>110.44444444444444</v>
      </c>
      <c r="G23" s="4">
        <f t="shared" si="1"/>
        <v>17</v>
      </c>
      <c r="H23" s="13">
        <f t="shared" si="2"/>
        <v>3.867704280155642</v>
      </c>
      <c r="I23" s="4">
        <f t="shared" si="3"/>
        <v>26</v>
      </c>
      <c r="J23" s="4">
        <f>'(rush off)'!E44</f>
        <v>9</v>
      </c>
      <c r="K23" s="14">
        <f>J23/'CURRENT WEEK'!B23</f>
        <v>1</v>
      </c>
      <c r="L23" s="4">
        <f t="shared" si="4"/>
        <v>9</v>
      </c>
      <c r="M23" s="4">
        <f>'(rush off)'!F44</f>
        <v>3</v>
      </c>
      <c r="N23" s="4">
        <f>'(rush off)'!G44</f>
        <v>0</v>
      </c>
      <c r="O23" s="4">
        <f>'(rush off)'!H44</f>
        <v>30</v>
      </c>
      <c r="P23" s="4">
        <f>'(rush off)'!I44</f>
        <v>62</v>
      </c>
      <c r="Q23" s="4">
        <f>'(rush off)'!J44</f>
        <v>24.1</v>
      </c>
      <c r="R23" s="4">
        <f>'(rush off)'!K44</f>
        <v>3</v>
      </c>
      <c r="S23" s="4"/>
      <c r="T23" s="4"/>
      <c r="U23" s="4"/>
      <c r="V23" s="4"/>
      <c r="W23" s="4"/>
    </row>
    <row r="24" spans="1:23" x14ac:dyDescent="0.2">
      <c r="A24" s="8" t="s">
        <v>50</v>
      </c>
      <c r="B24" s="4">
        <f>'(rush off)'!B46</f>
        <v>246</v>
      </c>
      <c r="C24" s="14">
        <f>B24/'CURRENT WEEK'!B24</f>
        <v>27.333333333333332</v>
      </c>
      <c r="D24" s="4">
        <f t="shared" si="0"/>
        <v>10</v>
      </c>
      <c r="E24" s="4">
        <f>'(rush off)'!C46</f>
        <v>961</v>
      </c>
      <c r="F24" s="14">
        <f>E24/'CURRENT WEEK'!B24</f>
        <v>106.77777777777777</v>
      </c>
      <c r="G24" s="4">
        <f t="shared" si="1"/>
        <v>19</v>
      </c>
      <c r="H24" s="13">
        <f t="shared" si="2"/>
        <v>3.9065040650406506</v>
      </c>
      <c r="I24" s="4">
        <f t="shared" si="3"/>
        <v>24</v>
      </c>
      <c r="J24" s="4">
        <f>'(rush off)'!E46</f>
        <v>11</v>
      </c>
      <c r="K24" s="14">
        <f>J24/'CURRENT WEEK'!B24</f>
        <v>1.2222222222222223</v>
      </c>
      <c r="L24" s="4">
        <f t="shared" si="4"/>
        <v>7</v>
      </c>
      <c r="M24" s="4">
        <f>'(rush off)'!F46</f>
        <v>6</v>
      </c>
      <c r="N24" s="4">
        <f>'(rush off)'!G46</f>
        <v>0</v>
      </c>
      <c r="O24" s="4">
        <f>'(rush off)'!H46</f>
        <v>35</v>
      </c>
      <c r="P24" s="4">
        <f>'(rush off)'!I46</f>
        <v>63</v>
      </c>
      <c r="Q24" s="4">
        <f>'(rush off)'!J46</f>
        <v>25.6</v>
      </c>
      <c r="R24" s="4">
        <f>'(rush off)'!K46</f>
        <v>3</v>
      </c>
      <c r="S24" s="4"/>
      <c r="T24" s="4"/>
      <c r="U24" s="4"/>
      <c r="V24" s="4"/>
      <c r="W24" s="4"/>
    </row>
    <row r="25" spans="1:23" x14ac:dyDescent="0.2">
      <c r="A25" s="8" t="s">
        <v>51</v>
      </c>
      <c r="B25" s="4">
        <f>'(rush off)'!B48</f>
        <v>193</v>
      </c>
      <c r="C25" s="14">
        <f>B25/'CURRENT WEEK'!B25</f>
        <v>24.125</v>
      </c>
      <c r="D25" s="4">
        <f t="shared" si="0"/>
        <v>24</v>
      </c>
      <c r="E25" s="4">
        <f>'(rush off)'!C48</f>
        <v>715</v>
      </c>
      <c r="F25" s="14">
        <f>E25/'CURRENT WEEK'!B25</f>
        <v>89.375</v>
      </c>
      <c r="G25" s="4">
        <f t="shared" si="1"/>
        <v>27</v>
      </c>
      <c r="H25" s="13">
        <f t="shared" si="2"/>
        <v>3.704663212435233</v>
      </c>
      <c r="I25" s="4">
        <f t="shared" si="3"/>
        <v>27</v>
      </c>
      <c r="J25" s="4">
        <f>'(rush off)'!E48</f>
        <v>8</v>
      </c>
      <c r="K25" s="14">
        <f>J25/'CURRENT WEEK'!B25</f>
        <v>1</v>
      </c>
      <c r="L25" s="4">
        <f t="shared" si="4"/>
        <v>9</v>
      </c>
      <c r="M25" s="4">
        <f>'(rush off)'!F48</f>
        <v>3</v>
      </c>
      <c r="N25" s="4">
        <f>'(rush off)'!G48</f>
        <v>0</v>
      </c>
      <c r="O25" s="4">
        <f>'(rush off)'!H48</f>
        <v>31</v>
      </c>
      <c r="P25" s="4">
        <f>'(rush off)'!I48</f>
        <v>44</v>
      </c>
      <c r="Q25" s="4">
        <f>'(rush off)'!J48</f>
        <v>22.8</v>
      </c>
      <c r="R25" s="4">
        <f>'(rush off)'!K48</f>
        <v>4</v>
      </c>
      <c r="S25" s="4"/>
      <c r="T25" s="4"/>
      <c r="U25" s="4"/>
      <c r="V25" s="4"/>
      <c r="W25" s="4"/>
    </row>
    <row r="26" spans="1:23" x14ac:dyDescent="0.2">
      <c r="A26" s="8" t="s">
        <v>53</v>
      </c>
      <c r="B26" s="4">
        <f>'(rush off)'!B50</f>
        <v>233</v>
      </c>
      <c r="C26" s="14">
        <f>B26/'CURRENT WEEK'!B26</f>
        <v>25.888888888888889</v>
      </c>
      <c r="D26" s="4">
        <f t="shared" si="0"/>
        <v>14</v>
      </c>
      <c r="E26" s="4">
        <f>'(rush off)'!C50</f>
        <v>927</v>
      </c>
      <c r="F26" s="14">
        <f>E26/'CURRENT WEEK'!B26</f>
        <v>103</v>
      </c>
      <c r="G26" s="4">
        <f t="shared" si="1"/>
        <v>20</v>
      </c>
      <c r="H26" s="13">
        <f t="shared" si="2"/>
        <v>3.9785407725321886</v>
      </c>
      <c r="I26" s="4">
        <f t="shared" si="3"/>
        <v>22</v>
      </c>
      <c r="J26" s="4">
        <f>'(rush off)'!E50</f>
        <v>7</v>
      </c>
      <c r="K26" s="14">
        <f>J26/'CURRENT WEEK'!B26</f>
        <v>0.77777777777777779</v>
      </c>
      <c r="L26" s="4">
        <f t="shared" si="4"/>
        <v>19</v>
      </c>
      <c r="M26" s="4">
        <f>'(rush off)'!F50</f>
        <v>1</v>
      </c>
      <c r="N26" s="4">
        <f>'(rush off)'!G50</f>
        <v>0</v>
      </c>
      <c r="O26" s="4">
        <f>'(rush off)'!H50</f>
        <v>29</v>
      </c>
      <c r="P26" s="4">
        <f>'(rush off)'!I50</f>
        <v>53</v>
      </c>
      <c r="Q26" s="4">
        <f>'(rush off)'!J50</f>
        <v>22.7</v>
      </c>
      <c r="R26" s="4">
        <f>'(rush off)'!K50</f>
        <v>2</v>
      </c>
      <c r="S26" s="4"/>
      <c r="T26" s="4"/>
      <c r="U26" s="4"/>
      <c r="V26" s="4"/>
      <c r="W26" s="4"/>
    </row>
    <row r="27" spans="1:23" x14ac:dyDescent="0.2">
      <c r="A27" s="8" t="s">
        <v>54</v>
      </c>
      <c r="B27" s="4">
        <f>'(rush off)'!B52</f>
        <v>259</v>
      </c>
      <c r="C27" s="14">
        <f>B27/'CURRENT WEEK'!B27</f>
        <v>32.375</v>
      </c>
      <c r="D27" s="4">
        <f t="shared" si="0"/>
        <v>1</v>
      </c>
      <c r="E27" s="4">
        <f>'(rush off)'!C52</f>
        <v>1293</v>
      </c>
      <c r="F27" s="14">
        <f>E27/'CURRENT WEEK'!B27</f>
        <v>161.625</v>
      </c>
      <c r="G27" s="4">
        <f t="shared" si="1"/>
        <v>1</v>
      </c>
      <c r="H27" s="13">
        <f t="shared" si="2"/>
        <v>4.9922779922779918</v>
      </c>
      <c r="I27" s="4">
        <f t="shared" si="3"/>
        <v>3</v>
      </c>
      <c r="J27" s="4">
        <f>'(rush off)'!E52</f>
        <v>11</v>
      </c>
      <c r="K27" s="14">
        <f>J27/'CURRENT WEEK'!B27</f>
        <v>1.375</v>
      </c>
      <c r="L27" s="4">
        <f t="shared" si="4"/>
        <v>5</v>
      </c>
      <c r="M27" s="4">
        <f>'(rush off)'!F52</f>
        <v>8</v>
      </c>
      <c r="N27" s="4">
        <f>'(rush off)'!G52</f>
        <v>0</v>
      </c>
      <c r="O27" s="4" t="str">
        <f>'(rush off)'!H52</f>
        <v>35T</v>
      </c>
      <c r="P27" s="4">
        <f>'(rush off)'!I52</f>
        <v>83</v>
      </c>
      <c r="Q27" s="4">
        <f>'(rush off)'!J52</f>
        <v>32</v>
      </c>
      <c r="R27" s="4">
        <f>'(rush off)'!K52</f>
        <v>4</v>
      </c>
      <c r="S27" s="4"/>
      <c r="T27" s="4"/>
      <c r="U27" s="4"/>
      <c r="V27" s="4"/>
      <c r="W27" s="4"/>
    </row>
    <row r="28" spans="1:23" x14ac:dyDescent="0.2">
      <c r="A28" s="8" t="s">
        <v>55</v>
      </c>
      <c r="B28" s="4">
        <f>'(rush off)'!B54</f>
        <v>244</v>
      </c>
      <c r="C28" s="14">
        <f>B28/'CURRENT WEEK'!B28</f>
        <v>30.5</v>
      </c>
      <c r="D28" s="4">
        <f t="shared" si="0"/>
        <v>4</v>
      </c>
      <c r="E28" s="4">
        <f>'(rush off)'!C54</f>
        <v>984</v>
      </c>
      <c r="F28" s="14">
        <f>E28/'CURRENT WEEK'!B28</f>
        <v>123</v>
      </c>
      <c r="G28" s="4">
        <f t="shared" si="1"/>
        <v>10</v>
      </c>
      <c r="H28" s="13">
        <f t="shared" si="2"/>
        <v>4.0327868852459012</v>
      </c>
      <c r="I28" s="4">
        <f t="shared" si="3"/>
        <v>21</v>
      </c>
      <c r="J28" s="4">
        <f>'(rush off)'!E54</f>
        <v>7</v>
      </c>
      <c r="K28" s="14">
        <f>J28/'CURRENT WEEK'!B28</f>
        <v>0.875</v>
      </c>
      <c r="L28" s="4">
        <f t="shared" si="4"/>
        <v>14</v>
      </c>
      <c r="M28" s="4">
        <f>'(rush off)'!F54</f>
        <v>3</v>
      </c>
      <c r="N28" s="4">
        <f>'(rush off)'!G54</f>
        <v>0</v>
      </c>
      <c r="O28" s="4" t="str">
        <f>'(rush off)'!H54</f>
        <v>23T</v>
      </c>
      <c r="P28" s="4">
        <f>'(rush off)'!I54</f>
        <v>58</v>
      </c>
      <c r="Q28" s="4">
        <f>'(rush off)'!J54</f>
        <v>23.8</v>
      </c>
      <c r="R28" s="4">
        <f>'(rush off)'!K54</f>
        <v>0</v>
      </c>
      <c r="S28" s="4"/>
      <c r="T28" s="4"/>
      <c r="U28" s="4"/>
      <c r="V28" s="4"/>
      <c r="W28" s="4"/>
    </row>
    <row r="29" spans="1:23" x14ac:dyDescent="0.2">
      <c r="A29" s="8" t="s">
        <v>56</v>
      </c>
      <c r="B29" s="4">
        <f>'(rush off)'!B56</f>
        <v>196</v>
      </c>
      <c r="C29" s="14">
        <f>B29/'CURRENT WEEK'!B29</f>
        <v>24.5</v>
      </c>
      <c r="D29" s="4">
        <f t="shared" si="0"/>
        <v>20</v>
      </c>
      <c r="E29" s="4">
        <f>'(rush off)'!C56</f>
        <v>823</v>
      </c>
      <c r="F29" s="14">
        <f>E29/'CURRENT WEEK'!B29</f>
        <v>102.875</v>
      </c>
      <c r="G29" s="4">
        <f t="shared" si="1"/>
        <v>21</v>
      </c>
      <c r="H29" s="13">
        <f t="shared" si="2"/>
        <v>4.1989795918367347</v>
      </c>
      <c r="I29" s="4">
        <f t="shared" si="3"/>
        <v>19</v>
      </c>
      <c r="J29" s="4">
        <f>'(rush off)'!E56</f>
        <v>7</v>
      </c>
      <c r="K29" s="14">
        <f>J29/'CURRENT WEEK'!B29</f>
        <v>0.875</v>
      </c>
      <c r="L29" s="4">
        <f t="shared" si="4"/>
        <v>14</v>
      </c>
      <c r="M29" s="4">
        <f>'(rush off)'!F56</f>
        <v>5</v>
      </c>
      <c r="N29" s="4">
        <f>'(rush off)'!G56</f>
        <v>0</v>
      </c>
      <c r="O29" s="4">
        <f>'(rush off)'!H56</f>
        <v>33</v>
      </c>
      <c r="P29" s="4">
        <f>'(rush off)'!I56</f>
        <v>46</v>
      </c>
      <c r="Q29" s="4">
        <f>'(rush off)'!J56</f>
        <v>23.5</v>
      </c>
      <c r="R29" s="4">
        <f>'(rush off)'!K56</f>
        <v>1</v>
      </c>
      <c r="S29" s="4"/>
      <c r="T29" s="4"/>
      <c r="U29" s="4"/>
      <c r="V29" s="4"/>
      <c r="W29" s="4"/>
    </row>
    <row r="30" spans="1:23" x14ac:dyDescent="0.2">
      <c r="A30" s="8" t="s">
        <v>58</v>
      </c>
      <c r="B30" s="4">
        <f>'(rush off)'!B58</f>
        <v>195</v>
      </c>
      <c r="C30" s="14">
        <f>B30/'CURRENT WEEK'!B30</f>
        <v>24.375</v>
      </c>
      <c r="D30" s="4">
        <f t="shared" si="0"/>
        <v>22</v>
      </c>
      <c r="E30" s="4">
        <f>'(rush off)'!C58</f>
        <v>707</v>
      </c>
      <c r="F30" s="14">
        <f>E30/'CURRENT WEEK'!B30</f>
        <v>88.375</v>
      </c>
      <c r="G30" s="4">
        <f t="shared" si="1"/>
        <v>28</v>
      </c>
      <c r="H30" s="13">
        <f t="shared" si="2"/>
        <v>3.6256410256410256</v>
      </c>
      <c r="I30" s="4">
        <f t="shared" si="3"/>
        <v>29</v>
      </c>
      <c r="J30" s="4">
        <f>'(rush off)'!E58</f>
        <v>6</v>
      </c>
      <c r="K30" s="14">
        <f>J30/'CURRENT WEEK'!B30</f>
        <v>0.75</v>
      </c>
      <c r="L30" s="4">
        <f t="shared" si="4"/>
        <v>21</v>
      </c>
      <c r="M30" s="4">
        <f>'(rush off)'!F58</f>
        <v>4</v>
      </c>
      <c r="N30" s="4">
        <f>'(rush off)'!G58</f>
        <v>0</v>
      </c>
      <c r="O30" s="4">
        <f>'(rush off)'!H58</f>
        <v>25</v>
      </c>
      <c r="P30" s="4">
        <f>'(rush off)'!I58</f>
        <v>40</v>
      </c>
      <c r="Q30" s="4">
        <f>'(rush off)'!J58</f>
        <v>20.5</v>
      </c>
      <c r="R30" s="4">
        <f>'(rush off)'!K58</f>
        <v>0</v>
      </c>
      <c r="S30" s="4"/>
      <c r="T30" s="4"/>
      <c r="U30" s="4"/>
      <c r="V30" s="4"/>
      <c r="W30" s="4"/>
    </row>
    <row r="31" spans="1:23" x14ac:dyDescent="0.2">
      <c r="A31" s="8" t="s">
        <v>59</v>
      </c>
      <c r="B31" s="4">
        <f>'(rush off)'!B60</f>
        <v>204</v>
      </c>
      <c r="C31" s="14">
        <f>B31/'CURRENT WEEK'!B31</f>
        <v>22.666666666666668</v>
      </c>
      <c r="D31" s="4">
        <f t="shared" si="0"/>
        <v>29</v>
      </c>
      <c r="E31" s="4">
        <f>'(rush off)'!C60</f>
        <v>682</v>
      </c>
      <c r="F31" s="14">
        <f>E31/'CURRENT WEEK'!B31</f>
        <v>75.777777777777771</v>
      </c>
      <c r="G31" s="4">
        <f t="shared" si="1"/>
        <v>31</v>
      </c>
      <c r="H31" s="13">
        <f t="shared" si="2"/>
        <v>3.3431372549019609</v>
      </c>
      <c r="I31" s="4">
        <f t="shared" si="3"/>
        <v>32</v>
      </c>
      <c r="J31" s="4">
        <f>'(rush off)'!E60</f>
        <v>4</v>
      </c>
      <c r="K31" s="14">
        <f>J31/'CURRENT WEEK'!B31</f>
        <v>0.44444444444444442</v>
      </c>
      <c r="L31" s="4">
        <f t="shared" si="4"/>
        <v>31</v>
      </c>
      <c r="M31" s="4">
        <f>'(rush off)'!F60</f>
        <v>3</v>
      </c>
      <c r="N31" s="4">
        <f>'(rush off)'!G60</f>
        <v>0</v>
      </c>
      <c r="O31" s="4">
        <f>'(rush off)'!H60</f>
        <v>35</v>
      </c>
      <c r="P31" s="4">
        <f>'(rush off)'!I60</f>
        <v>31</v>
      </c>
      <c r="Q31" s="4">
        <f>'(rush off)'!J60</f>
        <v>15.2</v>
      </c>
      <c r="R31" s="4">
        <f>'(rush off)'!K60</f>
        <v>2</v>
      </c>
      <c r="S31" s="4"/>
      <c r="T31" s="4"/>
      <c r="U31" s="4"/>
      <c r="V31" s="4"/>
      <c r="W31" s="4"/>
    </row>
    <row r="32" spans="1:23" x14ac:dyDescent="0.2">
      <c r="A32" s="8" t="s">
        <v>61</v>
      </c>
      <c r="B32" s="4">
        <f>'(rush off)'!B62</f>
        <v>286</v>
      </c>
      <c r="C32" s="14">
        <f>B32/'CURRENT WEEK'!B32</f>
        <v>31.777777777777779</v>
      </c>
      <c r="D32" s="4">
        <f t="shared" si="0"/>
        <v>2</v>
      </c>
      <c r="E32" s="4">
        <f>'(rush off)'!C62</f>
        <v>1250</v>
      </c>
      <c r="F32" s="14">
        <f>E32/'CURRENT WEEK'!B32</f>
        <v>138.88888888888889</v>
      </c>
      <c r="G32" s="4">
        <f t="shared" si="1"/>
        <v>4</v>
      </c>
      <c r="H32" s="13">
        <f t="shared" si="2"/>
        <v>4.3706293706293708</v>
      </c>
      <c r="I32" s="4">
        <f t="shared" si="3"/>
        <v>15</v>
      </c>
      <c r="J32" s="4">
        <f>'(rush off)'!E62</f>
        <v>15</v>
      </c>
      <c r="K32" s="14">
        <f>J32/'CURRENT WEEK'!B32</f>
        <v>1.6666666666666667</v>
      </c>
      <c r="L32" s="4">
        <f t="shared" si="4"/>
        <v>2</v>
      </c>
      <c r="M32" s="4">
        <f>'(rush off)'!F62</f>
        <v>4</v>
      </c>
      <c r="N32" s="4">
        <f>'(rush off)'!G62</f>
        <v>2</v>
      </c>
      <c r="O32" s="4" t="str">
        <f>'(rush off)'!H62</f>
        <v>76T</v>
      </c>
      <c r="P32" s="4">
        <f>'(rush off)'!I62</f>
        <v>73</v>
      </c>
      <c r="Q32" s="4">
        <f>'(rush off)'!J62</f>
        <v>25.5</v>
      </c>
      <c r="R32" s="4">
        <f>'(rush off)'!K62</f>
        <v>1</v>
      </c>
      <c r="S32" s="4"/>
      <c r="T32" s="4"/>
      <c r="U32" s="4"/>
      <c r="V32" s="4"/>
      <c r="W32" s="4"/>
    </row>
    <row r="33" spans="1:23" x14ac:dyDescent="0.2">
      <c r="A33" s="8" t="s">
        <v>62</v>
      </c>
      <c r="B33" s="4">
        <f>'(rush off)'!B64</f>
        <v>218</v>
      </c>
      <c r="C33" s="14">
        <f>B33/'CURRENT WEEK'!B33</f>
        <v>27.25</v>
      </c>
      <c r="D33" s="4">
        <f t="shared" si="0"/>
        <v>11</v>
      </c>
      <c r="E33" s="4">
        <f>'(rush off)'!C64</f>
        <v>999</v>
      </c>
      <c r="F33" s="14">
        <f>E33/'CURRENT WEEK'!B33</f>
        <v>124.875</v>
      </c>
      <c r="G33" s="4">
        <f t="shared" si="1"/>
        <v>9</v>
      </c>
      <c r="H33" s="13">
        <f t="shared" si="2"/>
        <v>4.5825688073394497</v>
      </c>
      <c r="I33" s="4">
        <f t="shared" si="3"/>
        <v>9</v>
      </c>
      <c r="J33" s="4">
        <f>'(rush off)'!E64</f>
        <v>3</v>
      </c>
      <c r="K33" s="14">
        <f>J33/'CURRENT WEEK'!B33</f>
        <v>0.375</v>
      </c>
      <c r="L33" s="4">
        <f t="shared" si="4"/>
        <v>32</v>
      </c>
      <c r="M33" s="4">
        <f>'(rush off)'!F64</f>
        <v>7</v>
      </c>
      <c r="N33" s="4">
        <f>'(rush off)'!G64</f>
        <v>2</v>
      </c>
      <c r="O33" s="4">
        <f>'(rush off)'!H64</f>
        <v>66</v>
      </c>
      <c r="P33" s="4">
        <f>'(rush off)'!I64</f>
        <v>52</v>
      </c>
      <c r="Q33" s="4">
        <f>'(rush off)'!J64</f>
        <v>23.9</v>
      </c>
      <c r="R33" s="4">
        <f>'(rush off)'!K64</f>
        <v>4</v>
      </c>
      <c r="S33" s="4"/>
      <c r="T33" s="4"/>
      <c r="U33" s="4"/>
      <c r="V33" s="4"/>
      <c r="W3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68123-2DF0-2043-97B6-0284DB600055}">
  <sheetPr codeName="Sheet5"/>
  <dimension ref="A1:Q65"/>
  <sheetViews>
    <sheetView workbookViewId="0">
      <selection sqref="A1:O65"/>
    </sheetView>
  </sheetViews>
  <sheetFormatPr baseColWidth="10" defaultRowHeight="16" x14ac:dyDescent="0.2"/>
  <sheetData>
    <row r="1" spans="1:17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75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Q1" t="s">
        <v>218</v>
      </c>
    </row>
    <row r="2" spans="1:17" x14ac:dyDescent="0.2">
      <c r="A2" s="2"/>
      <c r="B2" s="40">
        <v>248</v>
      </c>
      <c r="C2" s="40">
        <v>170</v>
      </c>
      <c r="D2" s="40">
        <v>68.5</v>
      </c>
      <c r="E2" s="40">
        <v>7.2</v>
      </c>
      <c r="F2" s="40">
        <v>1652</v>
      </c>
      <c r="G2" s="40">
        <v>12</v>
      </c>
      <c r="H2" s="40">
        <v>2</v>
      </c>
      <c r="I2" s="40">
        <v>101.9</v>
      </c>
      <c r="J2" s="40">
        <v>83</v>
      </c>
      <c r="K2" s="40">
        <v>33.5</v>
      </c>
      <c r="L2" s="40">
        <v>25</v>
      </c>
      <c r="M2" s="40">
        <v>7</v>
      </c>
      <c r="N2" s="40">
        <v>91</v>
      </c>
      <c r="O2" s="40">
        <v>18</v>
      </c>
    </row>
    <row r="3" spans="1:17" x14ac:dyDescent="0.2">
      <c r="A3" s="2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</row>
    <row r="4" spans="1:17" x14ac:dyDescent="0.2">
      <c r="A4" s="2"/>
      <c r="B4" s="40">
        <v>280</v>
      </c>
      <c r="C4" s="40">
        <v>181</v>
      </c>
      <c r="D4" s="40">
        <v>64.599999999999994</v>
      </c>
      <c r="E4" s="40">
        <v>8</v>
      </c>
      <c r="F4" s="40">
        <v>2035</v>
      </c>
      <c r="G4" s="40">
        <v>16</v>
      </c>
      <c r="H4" s="40">
        <v>4</v>
      </c>
      <c r="I4" s="40">
        <v>102.2</v>
      </c>
      <c r="J4" s="40">
        <v>101</v>
      </c>
      <c r="K4" s="40">
        <v>36.1</v>
      </c>
      <c r="L4" s="40">
        <v>29</v>
      </c>
      <c r="M4" s="40">
        <v>8</v>
      </c>
      <c r="N4" s="40">
        <v>83</v>
      </c>
      <c r="O4" s="40">
        <v>25</v>
      </c>
    </row>
    <row r="5" spans="1:17" x14ac:dyDescent="0.2">
      <c r="A5" s="2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</row>
    <row r="6" spans="1:17" x14ac:dyDescent="0.2">
      <c r="A6" s="2"/>
      <c r="B6" s="40">
        <v>349</v>
      </c>
      <c r="C6" s="40">
        <v>235</v>
      </c>
      <c r="D6" s="40">
        <v>67.3</v>
      </c>
      <c r="E6" s="40">
        <v>7.1</v>
      </c>
      <c r="F6" s="40">
        <v>2343</v>
      </c>
      <c r="G6" s="40">
        <v>12</v>
      </c>
      <c r="H6" s="40">
        <v>7</v>
      </c>
      <c r="I6" s="40">
        <v>90.9</v>
      </c>
      <c r="J6" s="40">
        <v>117</v>
      </c>
      <c r="K6" s="40">
        <v>33.5</v>
      </c>
      <c r="L6" s="40">
        <v>35</v>
      </c>
      <c r="M6" s="40">
        <v>3</v>
      </c>
      <c r="N6" s="40" t="s">
        <v>74</v>
      </c>
      <c r="O6" s="40">
        <v>23</v>
      </c>
    </row>
    <row r="7" spans="1:17" x14ac:dyDescent="0.2">
      <c r="A7" s="2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</row>
    <row r="8" spans="1:17" x14ac:dyDescent="0.2">
      <c r="A8" s="2"/>
      <c r="B8" s="40">
        <v>271</v>
      </c>
      <c r="C8" s="40">
        <v>157</v>
      </c>
      <c r="D8" s="40">
        <v>57.9</v>
      </c>
      <c r="E8" s="40">
        <v>5.6</v>
      </c>
      <c r="F8" s="40">
        <v>1416</v>
      </c>
      <c r="G8" s="40">
        <v>5</v>
      </c>
      <c r="H8" s="40">
        <v>11</v>
      </c>
      <c r="I8" s="40">
        <v>62.9</v>
      </c>
      <c r="J8" s="40">
        <v>70</v>
      </c>
      <c r="K8" s="40">
        <v>25.8</v>
      </c>
      <c r="L8" s="40">
        <v>14</v>
      </c>
      <c r="M8" s="40">
        <v>3</v>
      </c>
      <c r="N8" s="40" t="s">
        <v>41</v>
      </c>
      <c r="O8" s="40">
        <v>18</v>
      </c>
    </row>
    <row r="9" spans="1:17" x14ac:dyDescent="0.2">
      <c r="A9" s="2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</row>
    <row r="10" spans="1:17" x14ac:dyDescent="0.2">
      <c r="A10" s="2"/>
      <c r="B10" s="40">
        <v>305</v>
      </c>
      <c r="C10" s="40">
        <v>174</v>
      </c>
      <c r="D10" s="40">
        <v>57</v>
      </c>
      <c r="E10" s="40">
        <v>7.1</v>
      </c>
      <c r="F10" s="40">
        <v>2011</v>
      </c>
      <c r="G10" s="40">
        <v>11</v>
      </c>
      <c r="H10" s="40">
        <v>7</v>
      </c>
      <c r="I10" s="40">
        <v>81.5</v>
      </c>
      <c r="J10" s="40">
        <v>102</v>
      </c>
      <c r="K10" s="40">
        <v>33.4</v>
      </c>
      <c r="L10" s="40">
        <v>34</v>
      </c>
      <c r="M10" s="40">
        <v>7</v>
      </c>
      <c r="N10" s="40">
        <v>59</v>
      </c>
      <c r="O10" s="40">
        <v>22</v>
      </c>
    </row>
    <row r="11" spans="1:17" x14ac:dyDescent="0.2">
      <c r="A11" s="2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</row>
    <row r="12" spans="1:17" x14ac:dyDescent="0.2">
      <c r="A12" s="2"/>
      <c r="B12" s="40">
        <v>306</v>
      </c>
      <c r="C12" s="40">
        <v>191</v>
      </c>
      <c r="D12" s="40">
        <v>62.4</v>
      </c>
      <c r="E12" s="40">
        <v>7.2</v>
      </c>
      <c r="F12" s="40">
        <v>2024</v>
      </c>
      <c r="G12" s="40">
        <v>17</v>
      </c>
      <c r="H12" s="40">
        <v>5</v>
      </c>
      <c r="I12" s="40">
        <v>95.8</v>
      </c>
      <c r="J12" s="40">
        <v>103</v>
      </c>
      <c r="K12" s="40">
        <v>33.700000000000003</v>
      </c>
      <c r="L12" s="40">
        <v>29</v>
      </c>
      <c r="M12" s="40">
        <v>4</v>
      </c>
      <c r="N12" s="40" t="s">
        <v>32</v>
      </c>
      <c r="O12" s="40">
        <v>27</v>
      </c>
    </row>
    <row r="13" spans="1:17" x14ac:dyDescent="0.2">
      <c r="A13" s="2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</row>
    <row r="14" spans="1:17" x14ac:dyDescent="0.2">
      <c r="A14" s="2"/>
      <c r="B14" s="40">
        <v>322</v>
      </c>
      <c r="C14" s="40">
        <v>220</v>
      </c>
      <c r="D14" s="40">
        <v>68.3</v>
      </c>
      <c r="E14" s="40">
        <v>6.7</v>
      </c>
      <c r="F14" s="40">
        <v>2062</v>
      </c>
      <c r="G14" s="40">
        <v>16</v>
      </c>
      <c r="H14" s="40">
        <v>10</v>
      </c>
      <c r="I14" s="40">
        <v>90.5</v>
      </c>
      <c r="J14" s="40">
        <v>109</v>
      </c>
      <c r="K14" s="40">
        <v>33.9</v>
      </c>
      <c r="L14" s="40">
        <v>32</v>
      </c>
      <c r="M14" s="40">
        <v>2</v>
      </c>
      <c r="N14" s="40" t="s">
        <v>32</v>
      </c>
      <c r="O14" s="40">
        <v>17</v>
      </c>
    </row>
    <row r="15" spans="1:17" x14ac:dyDescent="0.2">
      <c r="A15" s="2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</row>
    <row r="16" spans="1:17" x14ac:dyDescent="0.2">
      <c r="A16" s="2"/>
      <c r="B16" s="40">
        <v>312</v>
      </c>
      <c r="C16" s="40">
        <v>200</v>
      </c>
      <c r="D16" s="40">
        <v>64.099999999999994</v>
      </c>
      <c r="E16" s="40">
        <v>6.5</v>
      </c>
      <c r="F16" s="40">
        <v>1889</v>
      </c>
      <c r="G16" s="40">
        <v>13</v>
      </c>
      <c r="H16" s="40">
        <v>7</v>
      </c>
      <c r="I16" s="40">
        <v>87.3</v>
      </c>
      <c r="J16" s="40">
        <v>98</v>
      </c>
      <c r="K16" s="40">
        <v>31.4</v>
      </c>
      <c r="L16" s="40">
        <v>19</v>
      </c>
      <c r="M16" s="40">
        <v>2</v>
      </c>
      <c r="N16" s="40" t="s">
        <v>63</v>
      </c>
      <c r="O16" s="40">
        <v>25</v>
      </c>
    </row>
    <row r="17" spans="1:15" x14ac:dyDescent="0.2">
      <c r="A17" s="2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</row>
    <row r="18" spans="1:15" x14ac:dyDescent="0.2">
      <c r="A18" s="2"/>
      <c r="B18" s="40">
        <v>237</v>
      </c>
      <c r="C18" s="40">
        <v>156</v>
      </c>
      <c r="D18" s="40">
        <v>65.8</v>
      </c>
      <c r="E18" s="40">
        <v>7.1</v>
      </c>
      <c r="F18" s="40">
        <v>1576</v>
      </c>
      <c r="G18" s="40">
        <v>10</v>
      </c>
      <c r="H18" s="40">
        <v>6</v>
      </c>
      <c r="I18" s="40">
        <v>90</v>
      </c>
      <c r="J18" s="40">
        <v>85</v>
      </c>
      <c r="K18" s="40">
        <v>35.9</v>
      </c>
      <c r="L18" s="40">
        <v>19</v>
      </c>
      <c r="M18" s="40">
        <v>5</v>
      </c>
      <c r="N18" s="40" t="s">
        <v>24</v>
      </c>
      <c r="O18" s="40">
        <v>15</v>
      </c>
    </row>
    <row r="19" spans="1:15" x14ac:dyDescent="0.2">
      <c r="A19" s="2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</row>
    <row r="20" spans="1:15" x14ac:dyDescent="0.2">
      <c r="A20" s="2"/>
      <c r="B20" s="40">
        <v>300</v>
      </c>
      <c r="C20" s="40">
        <v>200</v>
      </c>
      <c r="D20" s="40">
        <v>66.7</v>
      </c>
      <c r="E20" s="40">
        <v>8.1</v>
      </c>
      <c r="F20" s="40">
        <v>2337</v>
      </c>
      <c r="G20" s="40">
        <v>16</v>
      </c>
      <c r="H20" s="40">
        <v>7</v>
      </c>
      <c r="I20" s="40">
        <v>99.5</v>
      </c>
      <c r="J20" s="40">
        <v>114</v>
      </c>
      <c r="K20" s="40">
        <v>38</v>
      </c>
      <c r="L20" s="40">
        <v>34</v>
      </c>
      <c r="M20" s="40">
        <v>11</v>
      </c>
      <c r="N20" s="40">
        <v>61</v>
      </c>
      <c r="O20" s="40">
        <v>12</v>
      </c>
    </row>
    <row r="21" spans="1:15" x14ac:dyDescent="0.2">
      <c r="A21" s="2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</row>
    <row r="22" spans="1:15" x14ac:dyDescent="0.2">
      <c r="A22" s="2"/>
      <c r="B22" s="40">
        <v>309</v>
      </c>
      <c r="C22" s="40">
        <v>214</v>
      </c>
      <c r="D22" s="40">
        <v>69.3</v>
      </c>
      <c r="E22" s="40">
        <v>8</v>
      </c>
      <c r="F22" s="40">
        <v>2347</v>
      </c>
      <c r="G22" s="40">
        <v>23</v>
      </c>
      <c r="H22" s="40">
        <v>10</v>
      </c>
      <c r="I22" s="40">
        <v>104.4</v>
      </c>
      <c r="J22" s="40">
        <v>125</v>
      </c>
      <c r="K22" s="40">
        <v>40.5</v>
      </c>
      <c r="L22" s="40">
        <v>27</v>
      </c>
      <c r="M22" s="40">
        <v>6</v>
      </c>
      <c r="N22" s="40" t="s">
        <v>57</v>
      </c>
      <c r="O22" s="40">
        <v>19</v>
      </c>
    </row>
    <row r="23" spans="1:15" x14ac:dyDescent="0.2">
      <c r="A23" s="2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  <c r="N23" s="40"/>
      <c r="O23" s="40"/>
    </row>
    <row r="24" spans="1:15" x14ac:dyDescent="0.2">
      <c r="A24" s="2"/>
      <c r="B24" s="40">
        <v>293</v>
      </c>
      <c r="C24" s="40">
        <v>192</v>
      </c>
      <c r="D24" s="40">
        <v>65.5</v>
      </c>
      <c r="E24" s="40">
        <v>7.8</v>
      </c>
      <c r="F24" s="40">
        <v>2164</v>
      </c>
      <c r="G24" s="40">
        <v>14</v>
      </c>
      <c r="H24" s="40">
        <v>11</v>
      </c>
      <c r="I24" s="40">
        <v>89.7</v>
      </c>
      <c r="J24" s="40">
        <v>98</v>
      </c>
      <c r="K24" s="40">
        <v>33.4</v>
      </c>
      <c r="L24" s="40">
        <v>34</v>
      </c>
      <c r="M24" s="40">
        <v>7</v>
      </c>
      <c r="N24" s="40" t="s">
        <v>32</v>
      </c>
      <c r="O24" s="40">
        <v>16</v>
      </c>
    </row>
    <row r="25" spans="1:15" x14ac:dyDescent="0.2">
      <c r="A25" s="2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</row>
    <row r="26" spans="1:15" x14ac:dyDescent="0.2">
      <c r="A26" s="2"/>
      <c r="B26" s="40">
        <v>359</v>
      </c>
      <c r="C26" s="40">
        <v>232</v>
      </c>
      <c r="D26" s="40">
        <v>64.599999999999994</v>
      </c>
      <c r="E26" s="40">
        <v>7.4</v>
      </c>
      <c r="F26" s="40">
        <v>2528</v>
      </c>
      <c r="G26" s="40">
        <v>17</v>
      </c>
      <c r="H26" s="40">
        <v>6</v>
      </c>
      <c r="I26" s="40">
        <v>95.7</v>
      </c>
      <c r="J26" s="40">
        <v>132</v>
      </c>
      <c r="K26" s="40">
        <v>36.799999999999997</v>
      </c>
      <c r="L26" s="40">
        <v>41</v>
      </c>
      <c r="M26" s="40">
        <v>4</v>
      </c>
      <c r="N26" s="40" t="s">
        <v>26</v>
      </c>
      <c r="O26" s="40">
        <v>17</v>
      </c>
    </row>
    <row r="27" spans="1:15" x14ac:dyDescent="0.2">
      <c r="A27" s="2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40"/>
      <c r="N27" s="40"/>
      <c r="O27" s="40"/>
    </row>
    <row r="28" spans="1:15" x14ac:dyDescent="0.2">
      <c r="A28" s="2"/>
      <c r="B28" s="40">
        <v>306</v>
      </c>
      <c r="C28" s="40">
        <v>231</v>
      </c>
      <c r="D28" s="40">
        <v>75.5</v>
      </c>
      <c r="E28" s="40">
        <v>7.3</v>
      </c>
      <c r="F28" s="40">
        <v>2121</v>
      </c>
      <c r="G28" s="40">
        <v>16</v>
      </c>
      <c r="H28" s="40">
        <v>6</v>
      </c>
      <c r="I28" s="40">
        <v>104.8</v>
      </c>
      <c r="J28" s="40">
        <v>117</v>
      </c>
      <c r="K28" s="40">
        <v>38.200000000000003</v>
      </c>
      <c r="L28" s="40">
        <v>20</v>
      </c>
      <c r="M28" s="40">
        <v>5</v>
      </c>
      <c r="N28" s="40">
        <v>49</v>
      </c>
      <c r="O28" s="40">
        <v>17</v>
      </c>
    </row>
    <row r="29" spans="1:15" x14ac:dyDescent="0.2">
      <c r="A29" s="2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40"/>
      <c r="O29" s="40"/>
    </row>
    <row r="30" spans="1:15" x14ac:dyDescent="0.2">
      <c r="A30" s="2"/>
      <c r="B30" s="40">
        <v>279</v>
      </c>
      <c r="C30" s="40">
        <v>189</v>
      </c>
      <c r="D30" s="40">
        <v>67.7</v>
      </c>
      <c r="E30" s="40">
        <v>7.1</v>
      </c>
      <c r="F30" s="40">
        <v>1899</v>
      </c>
      <c r="G30" s="40">
        <v>17</v>
      </c>
      <c r="H30" s="40">
        <v>3</v>
      </c>
      <c r="I30" s="40">
        <v>104.1</v>
      </c>
      <c r="J30" s="40">
        <v>105</v>
      </c>
      <c r="K30" s="40">
        <v>37.6</v>
      </c>
      <c r="L30" s="40">
        <v>25</v>
      </c>
      <c r="M30" s="40">
        <v>0</v>
      </c>
      <c r="N30" s="40">
        <v>38</v>
      </c>
      <c r="O30" s="40">
        <v>11</v>
      </c>
    </row>
    <row r="31" spans="1:15" x14ac:dyDescent="0.2">
      <c r="A31" s="2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</row>
    <row r="32" spans="1:15" x14ac:dyDescent="0.2">
      <c r="A32" s="2"/>
      <c r="B32" s="40">
        <v>303</v>
      </c>
      <c r="C32" s="40">
        <v>204</v>
      </c>
      <c r="D32" s="40">
        <v>67.3</v>
      </c>
      <c r="E32" s="40">
        <v>7.9</v>
      </c>
      <c r="F32" s="40">
        <v>2294</v>
      </c>
      <c r="G32" s="40">
        <v>20</v>
      </c>
      <c r="H32" s="40">
        <v>4</v>
      </c>
      <c r="I32" s="40">
        <v>107.6</v>
      </c>
      <c r="J32" s="40">
        <v>124</v>
      </c>
      <c r="K32" s="40">
        <v>40.9</v>
      </c>
      <c r="L32" s="40">
        <v>27</v>
      </c>
      <c r="M32" s="40">
        <v>5</v>
      </c>
      <c r="N32" s="40" t="s">
        <v>30</v>
      </c>
      <c r="O32" s="40">
        <v>19</v>
      </c>
    </row>
    <row r="33" spans="1:15" x14ac:dyDescent="0.2">
      <c r="A33" s="2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</row>
    <row r="34" spans="1:15" x14ac:dyDescent="0.2">
      <c r="A34" s="2"/>
      <c r="B34" s="40">
        <v>340</v>
      </c>
      <c r="C34" s="40">
        <v>231</v>
      </c>
      <c r="D34" s="40">
        <v>67.900000000000006</v>
      </c>
      <c r="E34" s="40">
        <v>7</v>
      </c>
      <c r="F34" s="40">
        <v>2249</v>
      </c>
      <c r="G34" s="40">
        <v>16</v>
      </c>
      <c r="H34" s="40">
        <v>9</v>
      </c>
      <c r="I34" s="40">
        <v>92.4</v>
      </c>
      <c r="J34" s="40">
        <v>122</v>
      </c>
      <c r="K34" s="40">
        <v>35.9</v>
      </c>
      <c r="L34" s="40">
        <v>29</v>
      </c>
      <c r="M34" s="40">
        <v>3</v>
      </c>
      <c r="N34" s="40">
        <v>58</v>
      </c>
      <c r="O34" s="40">
        <v>19</v>
      </c>
    </row>
    <row r="35" spans="1:15" x14ac:dyDescent="0.2">
      <c r="A35" s="2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</row>
    <row r="36" spans="1:15" x14ac:dyDescent="0.2">
      <c r="A36" s="2"/>
      <c r="B36" s="40">
        <v>274</v>
      </c>
      <c r="C36" s="40">
        <v>199</v>
      </c>
      <c r="D36" s="40">
        <v>72.599999999999994</v>
      </c>
      <c r="E36" s="40">
        <v>8.4</v>
      </c>
      <c r="F36" s="40">
        <v>2176</v>
      </c>
      <c r="G36" s="40">
        <v>11</v>
      </c>
      <c r="H36" s="40">
        <v>4</v>
      </c>
      <c r="I36" s="40">
        <v>104.8</v>
      </c>
      <c r="J36" s="40">
        <v>106</v>
      </c>
      <c r="K36" s="40">
        <v>38.700000000000003</v>
      </c>
      <c r="L36" s="40">
        <v>36</v>
      </c>
      <c r="M36" s="40">
        <v>4</v>
      </c>
      <c r="N36" s="40">
        <v>55</v>
      </c>
      <c r="O36" s="40">
        <v>15</v>
      </c>
    </row>
    <row r="37" spans="1:15" x14ac:dyDescent="0.2">
      <c r="A37" s="2" t="s">
        <v>44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</row>
    <row r="38" spans="1:15" x14ac:dyDescent="0.2">
      <c r="A38" s="2"/>
      <c r="B38" s="40">
        <v>291</v>
      </c>
      <c r="C38" s="40">
        <v>200</v>
      </c>
      <c r="D38" s="40">
        <v>68.7</v>
      </c>
      <c r="E38" s="40">
        <v>8</v>
      </c>
      <c r="F38" s="40">
        <v>2199</v>
      </c>
      <c r="G38" s="40">
        <v>13</v>
      </c>
      <c r="H38" s="40">
        <v>1</v>
      </c>
      <c r="I38" s="40">
        <v>106.1</v>
      </c>
      <c r="J38" s="40">
        <v>116</v>
      </c>
      <c r="K38" s="40">
        <v>39.9</v>
      </c>
      <c r="L38" s="40">
        <v>38</v>
      </c>
      <c r="M38" s="40">
        <v>4</v>
      </c>
      <c r="N38" s="40" t="s">
        <v>49</v>
      </c>
      <c r="O38" s="40">
        <v>18</v>
      </c>
    </row>
    <row r="39" spans="1:15" x14ac:dyDescent="0.2">
      <c r="A39" s="2" t="s">
        <v>45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40"/>
    </row>
    <row r="40" spans="1:15" x14ac:dyDescent="0.2">
      <c r="A40" s="2"/>
      <c r="B40" s="40">
        <v>222</v>
      </c>
      <c r="C40" s="40">
        <v>151</v>
      </c>
      <c r="D40" s="40">
        <v>68</v>
      </c>
      <c r="E40" s="40">
        <v>9.3000000000000007</v>
      </c>
      <c r="F40" s="40">
        <v>1955</v>
      </c>
      <c r="G40" s="40">
        <v>15</v>
      </c>
      <c r="H40" s="40">
        <v>4</v>
      </c>
      <c r="I40" s="40">
        <v>112.7</v>
      </c>
      <c r="J40" s="40">
        <v>89</v>
      </c>
      <c r="K40" s="40">
        <v>40.1</v>
      </c>
      <c r="L40" s="40">
        <v>32</v>
      </c>
      <c r="M40" s="40">
        <v>7</v>
      </c>
      <c r="N40" s="40" t="s">
        <v>17</v>
      </c>
      <c r="O40" s="40">
        <v>14</v>
      </c>
    </row>
    <row r="41" spans="1:15" x14ac:dyDescent="0.2">
      <c r="A41" s="2" t="s">
        <v>46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</row>
    <row r="42" spans="1:15" x14ac:dyDescent="0.2">
      <c r="A42" s="2"/>
      <c r="B42" s="40">
        <v>309</v>
      </c>
      <c r="C42" s="40">
        <v>201</v>
      </c>
      <c r="D42" s="40">
        <v>65</v>
      </c>
      <c r="E42" s="40">
        <v>6.6</v>
      </c>
      <c r="F42" s="40">
        <v>1894</v>
      </c>
      <c r="G42" s="40">
        <v>15</v>
      </c>
      <c r="H42" s="40">
        <v>9</v>
      </c>
      <c r="I42" s="40">
        <v>88</v>
      </c>
      <c r="J42" s="40">
        <v>105</v>
      </c>
      <c r="K42" s="40">
        <v>34</v>
      </c>
      <c r="L42" s="40">
        <v>22</v>
      </c>
      <c r="M42" s="40">
        <v>6</v>
      </c>
      <c r="N42" s="40" t="s">
        <v>20</v>
      </c>
      <c r="O42" s="40">
        <v>21</v>
      </c>
    </row>
    <row r="43" spans="1:15" x14ac:dyDescent="0.2">
      <c r="A43" s="2" t="s">
        <v>47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</row>
    <row r="44" spans="1:15" x14ac:dyDescent="0.2">
      <c r="A44" s="2"/>
      <c r="B44" s="40">
        <v>273</v>
      </c>
      <c r="C44" s="40">
        <v>175</v>
      </c>
      <c r="D44" s="40">
        <v>64.099999999999994</v>
      </c>
      <c r="E44" s="40">
        <v>6.6</v>
      </c>
      <c r="F44" s="40">
        <v>1633</v>
      </c>
      <c r="G44" s="40">
        <v>13</v>
      </c>
      <c r="H44" s="40">
        <v>7</v>
      </c>
      <c r="I44" s="40">
        <v>88.2</v>
      </c>
      <c r="J44" s="40">
        <v>84</v>
      </c>
      <c r="K44" s="40">
        <v>30.8</v>
      </c>
      <c r="L44" s="40">
        <v>23</v>
      </c>
      <c r="M44" s="40">
        <v>4</v>
      </c>
      <c r="N44" s="40">
        <v>53</v>
      </c>
      <c r="O44" s="40">
        <v>23</v>
      </c>
    </row>
    <row r="45" spans="1:15" x14ac:dyDescent="0.2">
      <c r="A45" s="2" t="s">
        <v>48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5" x14ac:dyDescent="0.2">
      <c r="A46" s="2"/>
      <c r="B46" s="40">
        <v>314</v>
      </c>
      <c r="C46" s="40">
        <v>187</v>
      </c>
      <c r="D46" s="40">
        <v>59.6</v>
      </c>
      <c r="E46" s="40">
        <v>7.1</v>
      </c>
      <c r="F46" s="40">
        <v>2083</v>
      </c>
      <c r="G46" s="40">
        <v>12</v>
      </c>
      <c r="H46" s="40">
        <v>13</v>
      </c>
      <c r="I46" s="40">
        <v>76.599999999999994</v>
      </c>
      <c r="J46" s="40">
        <v>104</v>
      </c>
      <c r="K46" s="40">
        <v>33.1</v>
      </c>
      <c r="L46" s="40">
        <v>29</v>
      </c>
      <c r="M46" s="40">
        <v>3</v>
      </c>
      <c r="N46" s="40" t="s">
        <v>60</v>
      </c>
      <c r="O46" s="40">
        <v>19</v>
      </c>
    </row>
    <row r="47" spans="1:15" x14ac:dyDescent="0.2">
      <c r="A47" s="2" t="s">
        <v>50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</row>
    <row r="48" spans="1:15" x14ac:dyDescent="0.2">
      <c r="A48" s="2"/>
      <c r="B48" s="40">
        <v>282</v>
      </c>
      <c r="C48" s="40">
        <v>184</v>
      </c>
      <c r="D48" s="40">
        <v>65.2</v>
      </c>
      <c r="E48" s="40">
        <v>6.3</v>
      </c>
      <c r="F48" s="40">
        <v>1657</v>
      </c>
      <c r="G48" s="40">
        <v>12</v>
      </c>
      <c r="H48" s="40">
        <v>4</v>
      </c>
      <c r="I48" s="40">
        <v>90.8</v>
      </c>
      <c r="J48" s="40">
        <v>94</v>
      </c>
      <c r="K48" s="40">
        <v>33.299999999999997</v>
      </c>
      <c r="L48" s="40">
        <v>20</v>
      </c>
      <c r="M48" s="40">
        <v>3</v>
      </c>
      <c r="N48" s="40">
        <v>52</v>
      </c>
      <c r="O48" s="40">
        <v>21</v>
      </c>
    </row>
    <row r="49" spans="1:15" x14ac:dyDescent="0.2">
      <c r="A49" s="2" t="s">
        <v>51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</row>
    <row r="50" spans="1:15" x14ac:dyDescent="0.2">
      <c r="A50" s="2"/>
      <c r="B50" s="40">
        <v>350</v>
      </c>
      <c r="C50" s="40">
        <v>237</v>
      </c>
      <c r="D50" s="40">
        <v>67.7</v>
      </c>
      <c r="E50" s="40">
        <v>7</v>
      </c>
      <c r="F50" s="40">
        <v>2238</v>
      </c>
      <c r="G50" s="40">
        <v>10</v>
      </c>
      <c r="H50" s="40">
        <v>12</v>
      </c>
      <c r="I50" s="40">
        <v>82.9</v>
      </c>
      <c r="J50" s="40">
        <v>122</v>
      </c>
      <c r="K50" s="40">
        <v>34.9</v>
      </c>
      <c r="L50" s="40">
        <v>27</v>
      </c>
      <c r="M50" s="40">
        <v>4</v>
      </c>
      <c r="N50" s="40" t="s">
        <v>234</v>
      </c>
      <c r="O50" s="40">
        <v>28</v>
      </c>
    </row>
    <row r="51" spans="1:15" x14ac:dyDescent="0.2">
      <c r="A51" s="2" t="s">
        <v>53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0"/>
      <c r="N51" s="40"/>
      <c r="O51" s="40"/>
    </row>
    <row r="52" spans="1:15" x14ac:dyDescent="0.2">
      <c r="A52" s="2"/>
      <c r="B52" s="40">
        <v>295</v>
      </c>
      <c r="C52" s="40">
        <v>186</v>
      </c>
      <c r="D52" s="40">
        <v>63.1</v>
      </c>
      <c r="E52" s="40">
        <v>8</v>
      </c>
      <c r="F52" s="40">
        <v>2260</v>
      </c>
      <c r="G52" s="40">
        <v>14</v>
      </c>
      <c r="H52" s="40">
        <v>5</v>
      </c>
      <c r="I52" s="40">
        <v>96.9</v>
      </c>
      <c r="J52" s="40">
        <v>105</v>
      </c>
      <c r="K52" s="40">
        <v>35.6</v>
      </c>
      <c r="L52" s="40">
        <v>35</v>
      </c>
      <c r="M52" s="40">
        <v>7</v>
      </c>
      <c r="N52" s="40" t="s">
        <v>233</v>
      </c>
      <c r="O52" s="40">
        <v>15</v>
      </c>
    </row>
    <row r="53" spans="1:15" x14ac:dyDescent="0.2">
      <c r="A53" s="2" t="s">
        <v>54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0"/>
      <c r="N53" s="40"/>
      <c r="O53" s="40"/>
    </row>
    <row r="54" spans="1:15" x14ac:dyDescent="0.2">
      <c r="A54" s="2"/>
      <c r="B54" s="40">
        <v>298</v>
      </c>
      <c r="C54" s="40">
        <v>187</v>
      </c>
      <c r="D54" s="40">
        <v>62.8</v>
      </c>
      <c r="E54" s="40">
        <v>7.8</v>
      </c>
      <c r="F54" s="40">
        <v>2186</v>
      </c>
      <c r="G54" s="40">
        <v>12</v>
      </c>
      <c r="H54" s="40">
        <v>11</v>
      </c>
      <c r="I54" s="40">
        <v>84.7</v>
      </c>
      <c r="J54" s="40">
        <v>98</v>
      </c>
      <c r="K54" s="40">
        <v>32.9</v>
      </c>
      <c r="L54" s="40">
        <v>32</v>
      </c>
      <c r="M54" s="40">
        <v>8</v>
      </c>
      <c r="N54" s="40" t="s">
        <v>235</v>
      </c>
      <c r="O54" s="40">
        <v>18</v>
      </c>
    </row>
    <row r="55" spans="1:15" x14ac:dyDescent="0.2">
      <c r="A55" s="2" t="s">
        <v>55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0"/>
      <c r="N55" s="40"/>
      <c r="O55" s="40"/>
    </row>
    <row r="56" spans="1:15" x14ac:dyDescent="0.2">
      <c r="A56" s="2"/>
      <c r="B56" s="40">
        <v>323</v>
      </c>
      <c r="C56" s="40">
        <v>210</v>
      </c>
      <c r="D56" s="40">
        <v>65</v>
      </c>
      <c r="E56" s="40">
        <v>7.1</v>
      </c>
      <c r="F56" s="40">
        <v>2191</v>
      </c>
      <c r="G56" s="40">
        <v>12</v>
      </c>
      <c r="H56" s="40">
        <v>3</v>
      </c>
      <c r="I56" s="40">
        <v>94.4</v>
      </c>
      <c r="J56" s="40">
        <v>122</v>
      </c>
      <c r="K56" s="40">
        <v>37.799999999999997</v>
      </c>
      <c r="L56" s="40">
        <v>21</v>
      </c>
      <c r="M56" s="40">
        <v>3</v>
      </c>
      <c r="N56" s="40" t="s">
        <v>34</v>
      </c>
      <c r="O56" s="40">
        <v>14</v>
      </c>
    </row>
    <row r="57" spans="1:15" x14ac:dyDescent="0.2">
      <c r="A57" s="2" t="s">
        <v>56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0"/>
      <c r="N57" s="40"/>
      <c r="O57" s="40"/>
    </row>
    <row r="58" spans="1:15" x14ac:dyDescent="0.2">
      <c r="A58" s="2"/>
      <c r="B58" s="40">
        <v>272</v>
      </c>
      <c r="C58" s="40">
        <v>176</v>
      </c>
      <c r="D58" s="40">
        <v>64.7</v>
      </c>
      <c r="E58" s="40">
        <v>7.7</v>
      </c>
      <c r="F58" s="40">
        <v>1956</v>
      </c>
      <c r="G58" s="40">
        <v>12</v>
      </c>
      <c r="H58" s="40">
        <v>3</v>
      </c>
      <c r="I58" s="40">
        <v>98.1</v>
      </c>
      <c r="J58" s="40">
        <v>94</v>
      </c>
      <c r="K58" s="40">
        <v>34.6</v>
      </c>
      <c r="L58" s="40">
        <v>27</v>
      </c>
      <c r="M58" s="40">
        <v>3</v>
      </c>
      <c r="N58" s="40" t="s">
        <v>52</v>
      </c>
      <c r="O58" s="40">
        <v>22</v>
      </c>
    </row>
    <row r="59" spans="1:15" x14ac:dyDescent="0.2">
      <c r="A59" s="2" t="s">
        <v>58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0"/>
      <c r="N59" s="40"/>
      <c r="O59" s="40"/>
    </row>
    <row r="60" spans="1:15" x14ac:dyDescent="0.2">
      <c r="A60" s="2"/>
      <c r="B60" s="40">
        <v>292</v>
      </c>
      <c r="C60" s="40">
        <v>193</v>
      </c>
      <c r="D60" s="40">
        <v>66.099999999999994</v>
      </c>
      <c r="E60" s="40">
        <v>8.1</v>
      </c>
      <c r="F60" s="40">
        <v>2241</v>
      </c>
      <c r="G60" s="40">
        <v>16</v>
      </c>
      <c r="H60" s="40">
        <v>9</v>
      </c>
      <c r="I60" s="40">
        <v>96.5</v>
      </c>
      <c r="J60" s="40">
        <v>117</v>
      </c>
      <c r="K60" s="40">
        <v>40.1</v>
      </c>
      <c r="L60" s="40">
        <v>32</v>
      </c>
      <c r="M60" s="40">
        <v>7</v>
      </c>
      <c r="N60" s="40">
        <v>68</v>
      </c>
      <c r="O60" s="40">
        <v>19</v>
      </c>
    </row>
    <row r="61" spans="1:15" x14ac:dyDescent="0.2">
      <c r="A61" s="2" t="s">
        <v>59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</row>
    <row r="62" spans="1:15" x14ac:dyDescent="0.2">
      <c r="A62" s="2"/>
      <c r="B62" s="40">
        <v>364</v>
      </c>
      <c r="C62" s="40">
        <v>230</v>
      </c>
      <c r="D62" s="40">
        <v>63.2</v>
      </c>
      <c r="E62" s="40">
        <v>7</v>
      </c>
      <c r="F62" s="40">
        <v>2392</v>
      </c>
      <c r="G62" s="40">
        <v>16</v>
      </c>
      <c r="H62" s="40">
        <v>9</v>
      </c>
      <c r="I62" s="40">
        <v>88.4</v>
      </c>
      <c r="J62" s="40">
        <v>118</v>
      </c>
      <c r="K62" s="40">
        <v>32.4</v>
      </c>
      <c r="L62" s="40">
        <v>32</v>
      </c>
      <c r="M62" s="40">
        <v>6</v>
      </c>
      <c r="N62" s="40" t="s">
        <v>76</v>
      </c>
      <c r="O62" s="40">
        <v>23</v>
      </c>
    </row>
    <row r="63" spans="1:15" x14ac:dyDescent="0.2">
      <c r="A63" s="2" t="s">
        <v>61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</row>
    <row r="64" spans="1:15" x14ac:dyDescent="0.2">
      <c r="A64" s="2"/>
      <c r="B64" s="40">
        <v>286</v>
      </c>
      <c r="C64" s="40">
        <v>177</v>
      </c>
      <c r="D64" s="40">
        <v>61.9</v>
      </c>
      <c r="E64" s="40">
        <v>7.5</v>
      </c>
      <c r="F64" s="40">
        <v>1976</v>
      </c>
      <c r="G64" s="40">
        <v>12</v>
      </c>
      <c r="H64" s="40">
        <v>7</v>
      </c>
      <c r="I64" s="40">
        <v>88.8</v>
      </c>
      <c r="J64" s="40">
        <v>102</v>
      </c>
      <c r="K64" s="40">
        <v>35.700000000000003</v>
      </c>
      <c r="L64" s="40">
        <v>28</v>
      </c>
      <c r="M64" s="40">
        <v>4</v>
      </c>
      <c r="N64" s="40" t="s">
        <v>28</v>
      </c>
      <c r="O64" s="40">
        <v>27</v>
      </c>
    </row>
    <row r="65" spans="1:15" x14ac:dyDescent="0.2">
      <c r="A65" s="2" t="s">
        <v>62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0"/>
      <c r="N65" s="40"/>
      <c r="O65" s="40"/>
    </row>
  </sheetData>
  <mergeCells count="448">
    <mergeCell ref="O4:O5"/>
    <mergeCell ref="N2:N3"/>
    <mergeCell ref="O2:O3"/>
    <mergeCell ref="B4:B5"/>
    <mergeCell ref="C4:C5"/>
    <mergeCell ref="D4:D5"/>
    <mergeCell ref="E4:E5"/>
    <mergeCell ref="F4:F5"/>
    <mergeCell ref="G4:G5"/>
    <mergeCell ref="H4:H5"/>
    <mergeCell ref="I4:I5"/>
    <mergeCell ref="H2:H3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  <mergeCell ref="G2:G3"/>
    <mergeCell ref="D6:D7"/>
    <mergeCell ref="E6:E7"/>
    <mergeCell ref="F6:F7"/>
    <mergeCell ref="G6:G7"/>
    <mergeCell ref="J4:J5"/>
    <mergeCell ref="K4:K5"/>
    <mergeCell ref="L4:L5"/>
    <mergeCell ref="M4:M5"/>
    <mergeCell ref="N4:N5"/>
    <mergeCell ref="J8:J9"/>
    <mergeCell ref="K8:K9"/>
    <mergeCell ref="L8:L9"/>
    <mergeCell ref="M8:M9"/>
    <mergeCell ref="N8:N9"/>
    <mergeCell ref="O8:O9"/>
    <mergeCell ref="N6:N7"/>
    <mergeCell ref="O6:O7"/>
    <mergeCell ref="B8:B9"/>
    <mergeCell ref="C8:C9"/>
    <mergeCell ref="D8:D9"/>
    <mergeCell ref="E8:E9"/>
    <mergeCell ref="F8:F9"/>
    <mergeCell ref="G8:G9"/>
    <mergeCell ref="H8:H9"/>
    <mergeCell ref="I8:I9"/>
    <mergeCell ref="H6:H7"/>
    <mergeCell ref="I6:I7"/>
    <mergeCell ref="J6:J7"/>
    <mergeCell ref="K6:K7"/>
    <mergeCell ref="L6:L7"/>
    <mergeCell ref="M6:M7"/>
    <mergeCell ref="B6:B7"/>
    <mergeCell ref="C6:C7"/>
    <mergeCell ref="O12:O13"/>
    <mergeCell ref="N10:N11"/>
    <mergeCell ref="O10:O11"/>
    <mergeCell ref="B12:B13"/>
    <mergeCell ref="C12:C13"/>
    <mergeCell ref="D12:D13"/>
    <mergeCell ref="E12:E13"/>
    <mergeCell ref="F12:F13"/>
    <mergeCell ref="G12:G13"/>
    <mergeCell ref="H12:H13"/>
    <mergeCell ref="I12:I13"/>
    <mergeCell ref="H10:H11"/>
    <mergeCell ref="I10:I11"/>
    <mergeCell ref="J10:J11"/>
    <mergeCell ref="K10:K11"/>
    <mergeCell ref="L10:L11"/>
    <mergeCell ref="M10:M11"/>
    <mergeCell ref="B10:B11"/>
    <mergeCell ref="C10:C11"/>
    <mergeCell ref="D10:D11"/>
    <mergeCell ref="E10:E11"/>
    <mergeCell ref="F10:F11"/>
    <mergeCell ref="G10:G11"/>
    <mergeCell ref="D14:D15"/>
    <mergeCell ref="E14:E15"/>
    <mergeCell ref="F14:F15"/>
    <mergeCell ref="G14:G15"/>
    <mergeCell ref="J12:J13"/>
    <mergeCell ref="K12:K13"/>
    <mergeCell ref="L12:L13"/>
    <mergeCell ref="M12:M13"/>
    <mergeCell ref="N12:N13"/>
    <mergeCell ref="J16:J17"/>
    <mergeCell ref="K16:K17"/>
    <mergeCell ref="L16:L17"/>
    <mergeCell ref="M16:M17"/>
    <mergeCell ref="N16:N17"/>
    <mergeCell ref="O16:O17"/>
    <mergeCell ref="N14:N15"/>
    <mergeCell ref="O14:O15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B14:B15"/>
    <mergeCell ref="C14:C15"/>
    <mergeCell ref="O20:O21"/>
    <mergeCell ref="N18:N19"/>
    <mergeCell ref="O18:O19"/>
    <mergeCell ref="B20:B21"/>
    <mergeCell ref="C20:C21"/>
    <mergeCell ref="D20:D21"/>
    <mergeCell ref="E20:E21"/>
    <mergeCell ref="F20:F21"/>
    <mergeCell ref="G20:G21"/>
    <mergeCell ref="H20:H21"/>
    <mergeCell ref="I20:I21"/>
    <mergeCell ref="H18:H19"/>
    <mergeCell ref="I18:I19"/>
    <mergeCell ref="J18:J19"/>
    <mergeCell ref="K18:K19"/>
    <mergeCell ref="L18:L19"/>
    <mergeCell ref="M18:M19"/>
    <mergeCell ref="B18:B19"/>
    <mergeCell ref="C18:C19"/>
    <mergeCell ref="D18:D19"/>
    <mergeCell ref="E18:E19"/>
    <mergeCell ref="F18:F19"/>
    <mergeCell ref="G18:G19"/>
    <mergeCell ref="D22:D23"/>
    <mergeCell ref="E22:E23"/>
    <mergeCell ref="F22:F23"/>
    <mergeCell ref="G22:G23"/>
    <mergeCell ref="J20:J21"/>
    <mergeCell ref="K20:K21"/>
    <mergeCell ref="L20:L21"/>
    <mergeCell ref="M20:M21"/>
    <mergeCell ref="N20:N21"/>
    <mergeCell ref="J24:J25"/>
    <mergeCell ref="K24:K25"/>
    <mergeCell ref="L24:L25"/>
    <mergeCell ref="M24:M25"/>
    <mergeCell ref="N24:N25"/>
    <mergeCell ref="O24:O25"/>
    <mergeCell ref="N22:N23"/>
    <mergeCell ref="O22:O23"/>
    <mergeCell ref="B24:B25"/>
    <mergeCell ref="C24:C25"/>
    <mergeCell ref="D24:D25"/>
    <mergeCell ref="E24:E25"/>
    <mergeCell ref="F24:F25"/>
    <mergeCell ref="G24:G25"/>
    <mergeCell ref="H24:H25"/>
    <mergeCell ref="I24:I25"/>
    <mergeCell ref="H22:H23"/>
    <mergeCell ref="I22:I23"/>
    <mergeCell ref="J22:J23"/>
    <mergeCell ref="K22:K23"/>
    <mergeCell ref="L22:L23"/>
    <mergeCell ref="M22:M23"/>
    <mergeCell ref="B22:B23"/>
    <mergeCell ref="C22:C23"/>
    <mergeCell ref="O28:O29"/>
    <mergeCell ref="N26:N27"/>
    <mergeCell ref="O26:O27"/>
    <mergeCell ref="B28:B29"/>
    <mergeCell ref="C28:C29"/>
    <mergeCell ref="D28:D29"/>
    <mergeCell ref="E28:E29"/>
    <mergeCell ref="F28:F29"/>
    <mergeCell ref="G28:G29"/>
    <mergeCell ref="H28:H29"/>
    <mergeCell ref="I28:I29"/>
    <mergeCell ref="H26:H27"/>
    <mergeCell ref="I26:I27"/>
    <mergeCell ref="J26:J27"/>
    <mergeCell ref="K26:K27"/>
    <mergeCell ref="L26:L27"/>
    <mergeCell ref="M26:M27"/>
    <mergeCell ref="B26:B27"/>
    <mergeCell ref="C26:C27"/>
    <mergeCell ref="D26:D27"/>
    <mergeCell ref="E26:E27"/>
    <mergeCell ref="F26:F27"/>
    <mergeCell ref="G26:G27"/>
    <mergeCell ref="D30:D31"/>
    <mergeCell ref="E30:E31"/>
    <mergeCell ref="F30:F31"/>
    <mergeCell ref="G30:G31"/>
    <mergeCell ref="J28:J29"/>
    <mergeCell ref="K28:K29"/>
    <mergeCell ref="L28:L29"/>
    <mergeCell ref="M28:M29"/>
    <mergeCell ref="N28:N29"/>
    <mergeCell ref="J32:J33"/>
    <mergeCell ref="K32:K33"/>
    <mergeCell ref="L32:L33"/>
    <mergeCell ref="M32:M33"/>
    <mergeCell ref="N32:N33"/>
    <mergeCell ref="O32:O33"/>
    <mergeCell ref="N30:N31"/>
    <mergeCell ref="O30:O31"/>
    <mergeCell ref="B32:B33"/>
    <mergeCell ref="C32:C33"/>
    <mergeCell ref="D32:D33"/>
    <mergeCell ref="E32:E33"/>
    <mergeCell ref="F32:F33"/>
    <mergeCell ref="G32:G33"/>
    <mergeCell ref="H32:H33"/>
    <mergeCell ref="I32:I33"/>
    <mergeCell ref="H30:H31"/>
    <mergeCell ref="I30:I31"/>
    <mergeCell ref="J30:J31"/>
    <mergeCell ref="K30:K31"/>
    <mergeCell ref="L30:L31"/>
    <mergeCell ref="M30:M31"/>
    <mergeCell ref="B30:B31"/>
    <mergeCell ref="C30:C31"/>
    <mergeCell ref="O36:O37"/>
    <mergeCell ref="N34:N35"/>
    <mergeCell ref="O34:O35"/>
    <mergeCell ref="B36:B37"/>
    <mergeCell ref="C36:C37"/>
    <mergeCell ref="D36:D37"/>
    <mergeCell ref="E36:E37"/>
    <mergeCell ref="F36:F37"/>
    <mergeCell ref="G36:G37"/>
    <mergeCell ref="H36:H37"/>
    <mergeCell ref="I36:I37"/>
    <mergeCell ref="H34:H35"/>
    <mergeCell ref="I34:I35"/>
    <mergeCell ref="J34:J35"/>
    <mergeCell ref="K34:K35"/>
    <mergeCell ref="L34:L35"/>
    <mergeCell ref="M34:M35"/>
    <mergeCell ref="B34:B35"/>
    <mergeCell ref="C34:C35"/>
    <mergeCell ref="D34:D35"/>
    <mergeCell ref="E34:E35"/>
    <mergeCell ref="F34:F35"/>
    <mergeCell ref="G34:G35"/>
    <mergeCell ref="D38:D39"/>
    <mergeCell ref="E38:E39"/>
    <mergeCell ref="F38:F39"/>
    <mergeCell ref="G38:G39"/>
    <mergeCell ref="J36:J37"/>
    <mergeCell ref="K36:K37"/>
    <mergeCell ref="L36:L37"/>
    <mergeCell ref="M36:M37"/>
    <mergeCell ref="N36:N37"/>
    <mergeCell ref="J40:J41"/>
    <mergeCell ref="K40:K41"/>
    <mergeCell ref="L40:L41"/>
    <mergeCell ref="M40:M41"/>
    <mergeCell ref="N40:N41"/>
    <mergeCell ref="O40:O41"/>
    <mergeCell ref="N38:N39"/>
    <mergeCell ref="O38:O39"/>
    <mergeCell ref="B40:B41"/>
    <mergeCell ref="C40:C41"/>
    <mergeCell ref="D40:D41"/>
    <mergeCell ref="E40:E41"/>
    <mergeCell ref="F40:F41"/>
    <mergeCell ref="G40:G41"/>
    <mergeCell ref="H40:H41"/>
    <mergeCell ref="I40:I41"/>
    <mergeCell ref="H38:H39"/>
    <mergeCell ref="I38:I39"/>
    <mergeCell ref="J38:J39"/>
    <mergeCell ref="K38:K39"/>
    <mergeCell ref="L38:L39"/>
    <mergeCell ref="M38:M39"/>
    <mergeCell ref="B38:B39"/>
    <mergeCell ref="C38:C39"/>
    <mergeCell ref="O44:O45"/>
    <mergeCell ref="N42:N43"/>
    <mergeCell ref="O42:O43"/>
    <mergeCell ref="B44:B45"/>
    <mergeCell ref="C44:C45"/>
    <mergeCell ref="D44:D45"/>
    <mergeCell ref="E44:E45"/>
    <mergeCell ref="F44:F45"/>
    <mergeCell ref="G44:G45"/>
    <mergeCell ref="H44:H45"/>
    <mergeCell ref="I44:I45"/>
    <mergeCell ref="H42:H43"/>
    <mergeCell ref="I42:I43"/>
    <mergeCell ref="J42:J43"/>
    <mergeCell ref="K42:K43"/>
    <mergeCell ref="L42:L43"/>
    <mergeCell ref="M42:M43"/>
    <mergeCell ref="B42:B43"/>
    <mergeCell ref="C42:C43"/>
    <mergeCell ref="D42:D43"/>
    <mergeCell ref="E42:E43"/>
    <mergeCell ref="F42:F43"/>
    <mergeCell ref="G42:G43"/>
    <mergeCell ref="D46:D47"/>
    <mergeCell ref="E46:E47"/>
    <mergeCell ref="F46:F47"/>
    <mergeCell ref="G46:G47"/>
    <mergeCell ref="J44:J45"/>
    <mergeCell ref="K44:K45"/>
    <mergeCell ref="L44:L45"/>
    <mergeCell ref="M44:M45"/>
    <mergeCell ref="N44:N45"/>
    <mergeCell ref="J48:J49"/>
    <mergeCell ref="K48:K49"/>
    <mergeCell ref="L48:L49"/>
    <mergeCell ref="M48:M49"/>
    <mergeCell ref="N48:N49"/>
    <mergeCell ref="O48:O49"/>
    <mergeCell ref="N46:N47"/>
    <mergeCell ref="O46:O47"/>
    <mergeCell ref="B48:B49"/>
    <mergeCell ref="C48:C49"/>
    <mergeCell ref="D48:D49"/>
    <mergeCell ref="E48:E49"/>
    <mergeCell ref="F48:F49"/>
    <mergeCell ref="G48:G49"/>
    <mergeCell ref="H48:H49"/>
    <mergeCell ref="I48:I49"/>
    <mergeCell ref="H46:H47"/>
    <mergeCell ref="I46:I47"/>
    <mergeCell ref="J46:J47"/>
    <mergeCell ref="K46:K47"/>
    <mergeCell ref="L46:L47"/>
    <mergeCell ref="M46:M47"/>
    <mergeCell ref="B46:B47"/>
    <mergeCell ref="C46:C47"/>
    <mergeCell ref="O52:O53"/>
    <mergeCell ref="N50:N51"/>
    <mergeCell ref="O50:O51"/>
    <mergeCell ref="B52:B53"/>
    <mergeCell ref="C52:C53"/>
    <mergeCell ref="D52:D53"/>
    <mergeCell ref="E52:E53"/>
    <mergeCell ref="F52:F53"/>
    <mergeCell ref="G52:G53"/>
    <mergeCell ref="H52:H53"/>
    <mergeCell ref="I52:I53"/>
    <mergeCell ref="H50:H51"/>
    <mergeCell ref="I50:I51"/>
    <mergeCell ref="J50:J51"/>
    <mergeCell ref="K50:K51"/>
    <mergeCell ref="L50:L51"/>
    <mergeCell ref="M50:M51"/>
    <mergeCell ref="B50:B51"/>
    <mergeCell ref="C50:C51"/>
    <mergeCell ref="D50:D51"/>
    <mergeCell ref="E50:E51"/>
    <mergeCell ref="F50:F51"/>
    <mergeCell ref="G50:G51"/>
    <mergeCell ref="D54:D55"/>
    <mergeCell ref="E54:E55"/>
    <mergeCell ref="F54:F55"/>
    <mergeCell ref="G54:G55"/>
    <mergeCell ref="J52:J53"/>
    <mergeCell ref="K52:K53"/>
    <mergeCell ref="L52:L53"/>
    <mergeCell ref="M52:M53"/>
    <mergeCell ref="N52:N53"/>
    <mergeCell ref="J56:J57"/>
    <mergeCell ref="K56:K57"/>
    <mergeCell ref="L56:L57"/>
    <mergeCell ref="M56:M57"/>
    <mergeCell ref="N56:N57"/>
    <mergeCell ref="O56:O57"/>
    <mergeCell ref="N54:N55"/>
    <mergeCell ref="O54:O55"/>
    <mergeCell ref="B56:B57"/>
    <mergeCell ref="C56:C57"/>
    <mergeCell ref="D56:D57"/>
    <mergeCell ref="E56:E57"/>
    <mergeCell ref="F56:F57"/>
    <mergeCell ref="G56:G57"/>
    <mergeCell ref="H56:H57"/>
    <mergeCell ref="I56:I57"/>
    <mergeCell ref="H54:H55"/>
    <mergeCell ref="I54:I55"/>
    <mergeCell ref="J54:J55"/>
    <mergeCell ref="K54:K55"/>
    <mergeCell ref="L54:L55"/>
    <mergeCell ref="M54:M55"/>
    <mergeCell ref="B54:B55"/>
    <mergeCell ref="C54:C55"/>
    <mergeCell ref="O60:O61"/>
    <mergeCell ref="N58:N59"/>
    <mergeCell ref="O58:O59"/>
    <mergeCell ref="B60:B61"/>
    <mergeCell ref="C60:C61"/>
    <mergeCell ref="D60:D61"/>
    <mergeCell ref="E60:E61"/>
    <mergeCell ref="F60:F61"/>
    <mergeCell ref="G60:G61"/>
    <mergeCell ref="H60:H61"/>
    <mergeCell ref="I60:I61"/>
    <mergeCell ref="H58:H59"/>
    <mergeCell ref="I58:I59"/>
    <mergeCell ref="J58:J59"/>
    <mergeCell ref="K58:K59"/>
    <mergeCell ref="L58:L59"/>
    <mergeCell ref="M58:M59"/>
    <mergeCell ref="B58:B59"/>
    <mergeCell ref="C58:C59"/>
    <mergeCell ref="D58:D59"/>
    <mergeCell ref="E58:E59"/>
    <mergeCell ref="F58:F59"/>
    <mergeCell ref="G58:G59"/>
    <mergeCell ref="D62:D63"/>
    <mergeCell ref="E62:E63"/>
    <mergeCell ref="F62:F63"/>
    <mergeCell ref="G62:G63"/>
    <mergeCell ref="J60:J61"/>
    <mergeCell ref="K60:K61"/>
    <mergeCell ref="L60:L61"/>
    <mergeCell ref="M60:M61"/>
    <mergeCell ref="N60:N61"/>
    <mergeCell ref="J64:J65"/>
    <mergeCell ref="K64:K65"/>
    <mergeCell ref="L64:L65"/>
    <mergeCell ref="M64:M65"/>
    <mergeCell ref="N64:N65"/>
    <mergeCell ref="O64:O65"/>
    <mergeCell ref="N62:N63"/>
    <mergeCell ref="O62:O63"/>
    <mergeCell ref="B64:B65"/>
    <mergeCell ref="C64:C65"/>
    <mergeCell ref="D64:D65"/>
    <mergeCell ref="E64:E65"/>
    <mergeCell ref="F64:F65"/>
    <mergeCell ref="G64:G65"/>
    <mergeCell ref="H64:H65"/>
    <mergeCell ref="I64:I65"/>
    <mergeCell ref="H62:H63"/>
    <mergeCell ref="I62:I63"/>
    <mergeCell ref="J62:J63"/>
    <mergeCell ref="K62:K63"/>
    <mergeCell ref="L62:L63"/>
    <mergeCell ref="M62:M63"/>
    <mergeCell ref="B62:B63"/>
    <mergeCell ref="C62:C63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CA83E-E632-944C-96BB-55C5BD7449A9}">
  <sheetPr codeName="Sheet6"/>
  <dimension ref="A1:N65"/>
  <sheetViews>
    <sheetView workbookViewId="0">
      <selection sqref="A1:L65"/>
    </sheetView>
  </sheetViews>
  <sheetFormatPr baseColWidth="10" defaultRowHeight="16" x14ac:dyDescent="0.2"/>
  <sheetData>
    <row r="1" spans="1:14" x14ac:dyDescent="0.2">
      <c r="A1" s="1" t="s">
        <v>0</v>
      </c>
      <c r="B1" s="2" t="s">
        <v>99</v>
      </c>
      <c r="C1" s="2" t="s">
        <v>75</v>
      </c>
      <c r="D1" s="2" t="s">
        <v>100</v>
      </c>
      <c r="E1" s="2" t="s">
        <v>6</v>
      </c>
      <c r="F1" s="2" t="s">
        <v>11</v>
      </c>
      <c r="G1" s="2" t="s">
        <v>12</v>
      </c>
      <c r="H1" s="2" t="s">
        <v>13</v>
      </c>
      <c r="I1" s="2" t="s">
        <v>101</v>
      </c>
      <c r="J1" s="2" t="s">
        <v>102</v>
      </c>
      <c r="K1" s="2" t="s">
        <v>103</v>
      </c>
      <c r="L1" s="2" t="s">
        <v>104</v>
      </c>
      <c r="N1" t="s">
        <v>219</v>
      </c>
    </row>
    <row r="2" spans="1:14" x14ac:dyDescent="0.2">
      <c r="A2" s="2"/>
      <c r="B2" s="40">
        <v>170</v>
      </c>
      <c r="C2" s="40">
        <v>1784</v>
      </c>
      <c r="D2" s="40">
        <v>10.5</v>
      </c>
      <c r="E2" s="40">
        <v>12</v>
      </c>
      <c r="F2" s="40">
        <v>25</v>
      </c>
      <c r="G2" s="40">
        <v>7</v>
      </c>
      <c r="H2" s="40">
        <v>91</v>
      </c>
      <c r="I2" s="40">
        <v>83</v>
      </c>
      <c r="J2" s="40">
        <v>48.8</v>
      </c>
      <c r="K2" s="40">
        <v>4</v>
      </c>
      <c r="L2" s="40">
        <v>25</v>
      </c>
    </row>
    <row r="3" spans="1:14" x14ac:dyDescent="0.2">
      <c r="A3" s="2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</row>
    <row r="4" spans="1:14" x14ac:dyDescent="0.2">
      <c r="A4" s="2"/>
      <c r="B4" s="40">
        <v>181</v>
      </c>
      <c r="C4" s="40">
        <v>2227</v>
      </c>
      <c r="D4" s="40">
        <v>12.3</v>
      </c>
      <c r="E4" s="40">
        <v>16</v>
      </c>
      <c r="F4" s="40">
        <v>29</v>
      </c>
      <c r="G4" s="40">
        <v>8</v>
      </c>
      <c r="H4" s="40">
        <v>83</v>
      </c>
      <c r="I4" s="40">
        <v>101</v>
      </c>
      <c r="J4" s="40">
        <v>55.8</v>
      </c>
      <c r="K4" s="40">
        <v>1</v>
      </c>
      <c r="L4" s="40">
        <v>30</v>
      </c>
    </row>
    <row r="5" spans="1:14" x14ac:dyDescent="0.2">
      <c r="A5" s="2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</row>
    <row r="6" spans="1:14" x14ac:dyDescent="0.2">
      <c r="A6" s="2"/>
      <c r="B6" s="40">
        <v>235</v>
      </c>
      <c r="C6" s="40">
        <v>2482</v>
      </c>
      <c r="D6" s="40">
        <v>10.6</v>
      </c>
      <c r="E6" s="40">
        <v>12</v>
      </c>
      <c r="F6" s="40">
        <v>35</v>
      </c>
      <c r="G6" s="40">
        <v>3</v>
      </c>
      <c r="H6" s="40" t="s">
        <v>74</v>
      </c>
      <c r="I6" s="40">
        <v>117</v>
      </c>
      <c r="J6" s="40">
        <v>49.8</v>
      </c>
      <c r="K6" s="40">
        <v>3</v>
      </c>
      <c r="L6" s="40">
        <v>29</v>
      </c>
    </row>
    <row r="7" spans="1:14" x14ac:dyDescent="0.2">
      <c r="A7" s="2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</row>
    <row r="8" spans="1:14" x14ac:dyDescent="0.2">
      <c r="A8" s="2"/>
      <c r="B8" s="40">
        <v>157</v>
      </c>
      <c r="C8" s="40">
        <v>1513</v>
      </c>
      <c r="D8" s="40">
        <v>9.6</v>
      </c>
      <c r="E8" s="40">
        <v>5</v>
      </c>
      <c r="F8" s="40">
        <v>14</v>
      </c>
      <c r="G8" s="40">
        <v>3</v>
      </c>
      <c r="H8" s="40" t="s">
        <v>41</v>
      </c>
      <c r="I8" s="40">
        <v>70</v>
      </c>
      <c r="J8" s="40">
        <v>44.6</v>
      </c>
      <c r="K8" s="40">
        <v>3</v>
      </c>
      <c r="L8" s="40">
        <v>39</v>
      </c>
    </row>
    <row r="9" spans="1:14" x14ac:dyDescent="0.2">
      <c r="A9" s="2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</row>
    <row r="10" spans="1:14" x14ac:dyDescent="0.2">
      <c r="A10" s="2"/>
      <c r="B10" s="40">
        <v>174</v>
      </c>
      <c r="C10" s="40">
        <v>2156</v>
      </c>
      <c r="D10" s="40">
        <v>12.4</v>
      </c>
      <c r="E10" s="40">
        <v>11</v>
      </c>
      <c r="F10" s="40">
        <v>34</v>
      </c>
      <c r="G10" s="40">
        <v>7</v>
      </c>
      <c r="H10" s="40">
        <v>59</v>
      </c>
      <c r="I10" s="40">
        <v>102</v>
      </c>
      <c r="J10" s="40">
        <v>58.6</v>
      </c>
      <c r="K10" s="40">
        <v>0</v>
      </c>
      <c r="L10" s="40">
        <v>41</v>
      </c>
    </row>
    <row r="11" spans="1:14" x14ac:dyDescent="0.2">
      <c r="A11" s="2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</row>
    <row r="12" spans="1:14" x14ac:dyDescent="0.2">
      <c r="A12" s="2"/>
      <c r="B12" s="40">
        <v>191</v>
      </c>
      <c r="C12" s="40">
        <v>2203</v>
      </c>
      <c r="D12" s="40">
        <v>11.5</v>
      </c>
      <c r="E12" s="40">
        <v>17</v>
      </c>
      <c r="F12" s="40">
        <v>29</v>
      </c>
      <c r="G12" s="40">
        <v>4</v>
      </c>
      <c r="H12" s="40" t="s">
        <v>32</v>
      </c>
      <c r="I12" s="40">
        <v>103</v>
      </c>
      <c r="J12" s="40">
        <v>53.9</v>
      </c>
      <c r="K12" s="40">
        <v>3</v>
      </c>
      <c r="L12" s="40">
        <v>43</v>
      </c>
    </row>
    <row r="13" spans="1:14" x14ac:dyDescent="0.2">
      <c r="A13" s="2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</row>
    <row r="14" spans="1:14" x14ac:dyDescent="0.2">
      <c r="A14" s="2"/>
      <c r="B14" s="40">
        <v>220</v>
      </c>
      <c r="C14" s="40">
        <v>2155</v>
      </c>
      <c r="D14" s="40">
        <v>9.8000000000000007</v>
      </c>
      <c r="E14" s="40">
        <v>16</v>
      </c>
      <c r="F14" s="40">
        <v>32</v>
      </c>
      <c r="G14" s="40">
        <v>2</v>
      </c>
      <c r="H14" s="40" t="s">
        <v>32</v>
      </c>
      <c r="I14" s="40">
        <v>109</v>
      </c>
      <c r="J14" s="40">
        <v>49.5</v>
      </c>
      <c r="K14" s="40">
        <v>2</v>
      </c>
      <c r="L14" s="40">
        <v>38</v>
      </c>
    </row>
    <row r="15" spans="1:14" x14ac:dyDescent="0.2">
      <c r="A15" s="2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</row>
    <row r="16" spans="1:14" x14ac:dyDescent="0.2">
      <c r="A16" s="2"/>
      <c r="B16" s="40">
        <v>200</v>
      </c>
      <c r="C16" s="40">
        <v>2038</v>
      </c>
      <c r="D16" s="40">
        <v>10.199999999999999</v>
      </c>
      <c r="E16" s="40">
        <v>13</v>
      </c>
      <c r="F16" s="40">
        <v>19</v>
      </c>
      <c r="G16" s="40">
        <v>2</v>
      </c>
      <c r="H16" s="40" t="s">
        <v>63</v>
      </c>
      <c r="I16" s="40">
        <v>98</v>
      </c>
      <c r="J16" s="40">
        <v>49</v>
      </c>
      <c r="K16" s="40">
        <v>6</v>
      </c>
      <c r="L16" s="40">
        <v>40</v>
      </c>
    </row>
    <row r="17" spans="1:12" x14ac:dyDescent="0.2">
      <c r="A17" s="2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</row>
    <row r="18" spans="1:12" x14ac:dyDescent="0.2">
      <c r="A18" s="2"/>
      <c r="B18" s="40">
        <v>156</v>
      </c>
      <c r="C18" s="40">
        <v>1679</v>
      </c>
      <c r="D18" s="40">
        <v>10.8</v>
      </c>
      <c r="E18" s="40">
        <v>10</v>
      </c>
      <c r="F18" s="40">
        <v>19</v>
      </c>
      <c r="G18" s="40">
        <v>5</v>
      </c>
      <c r="H18" s="40" t="s">
        <v>24</v>
      </c>
      <c r="I18" s="40">
        <v>85</v>
      </c>
      <c r="J18" s="40">
        <v>54.5</v>
      </c>
      <c r="K18" s="40">
        <v>4</v>
      </c>
      <c r="L18" s="40">
        <v>18</v>
      </c>
    </row>
    <row r="19" spans="1:12" x14ac:dyDescent="0.2">
      <c r="A19" s="2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</row>
    <row r="20" spans="1:12" x14ac:dyDescent="0.2">
      <c r="A20" s="2"/>
      <c r="B20" s="40">
        <v>200</v>
      </c>
      <c r="C20" s="40">
        <v>2431</v>
      </c>
      <c r="D20" s="40">
        <v>12.2</v>
      </c>
      <c r="E20" s="40">
        <v>16</v>
      </c>
      <c r="F20" s="40">
        <v>34</v>
      </c>
      <c r="G20" s="40">
        <v>11</v>
      </c>
      <c r="H20" s="40">
        <v>61</v>
      </c>
      <c r="I20" s="40">
        <v>114</v>
      </c>
      <c r="J20" s="40">
        <v>57</v>
      </c>
      <c r="K20" s="40">
        <v>1</v>
      </c>
      <c r="L20" s="40">
        <v>23</v>
      </c>
    </row>
    <row r="21" spans="1:12" x14ac:dyDescent="0.2">
      <c r="A21" s="2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</row>
    <row r="22" spans="1:12" x14ac:dyDescent="0.2">
      <c r="A22" s="2"/>
      <c r="B22" s="40">
        <v>214</v>
      </c>
      <c r="C22" s="40">
        <v>2471</v>
      </c>
      <c r="D22" s="40">
        <v>11.5</v>
      </c>
      <c r="E22" s="40">
        <v>23</v>
      </c>
      <c r="F22" s="40">
        <v>27</v>
      </c>
      <c r="G22" s="40">
        <v>6</v>
      </c>
      <c r="H22" s="40" t="s">
        <v>57</v>
      </c>
      <c r="I22" s="40">
        <v>125</v>
      </c>
      <c r="J22" s="40">
        <v>58.4</v>
      </c>
      <c r="K22" s="40">
        <v>2</v>
      </c>
      <c r="L22" s="40">
        <v>31</v>
      </c>
    </row>
    <row r="23" spans="1:12" x14ac:dyDescent="0.2">
      <c r="A23" s="2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</row>
    <row r="24" spans="1:12" x14ac:dyDescent="0.2">
      <c r="A24" s="2"/>
      <c r="B24" s="40">
        <v>192</v>
      </c>
      <c r="C24" s="40">
        <v>2300</v>
      </c>
      <c r="D24" s="40">
        <v>12</v>
      </c>
      <c r="E24" s="40">
        <v>14</v>
      </c>
      <c r="F24" s="40">
        <v>34</v>
      </c>
      <c r="G24" s="40">
        <v>7</v>
      </c>
      <c r="H24" s="40" t="s">
        <v>32</v>
      </c>
      <c r="I24" s="40">
        <v>98</v>
      </c>
      <c r="J24" s="40">
        <v>51</v>
      </c>
      <c r="K24" s="40">
        <v>1</v>
      </c>
      <c r="L24" s="40">
        <v>32</v>
      </c>
    </row>
    <row r="25" spans="1:12" x14ac:dyDescent="0.2">
      <c r="A25" s="2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</row>
    <row r="26" spans="1:12" x14ac:dyDescent="0.2">
      <c r="A26" s="2"/>
      <c r="B26" s="40">
        <v>232</v>
      </c>
      <c r="C26" s="40">
        <v>2670</v>
      </c>
      <c r="D26" s="40">
        <v>11.5</v>
      </c>
      <c r="E26" s="40">
        <v>17</v>
      </c>
      <c r="F26" s="40">
        <v>41</v>
      </c>
      <c r="G26" s="40">
        <v>4</v>
      </c>
      <c r="H26" s="40" t="s">
        <v>26</v>
      </c>
      <c r="I26" s="40">
        <v>132</v>
      </c>
      <c r="J26" s="40">
        <v>56.9</v>
      </c>
      <c r="K26" s="40">
        <v>5</v>
      </c>
      <c r="L26" s="40">
        <v>47</v>
      </c>
    </row>
    <row r="27" spans="1:12" x14ac:dyDescent="0.2">
      <c r="A27" s="2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</row>
    <row r="28" spans="1:12" x14ac:dyDescent="0.2">
      <c r="A28" s="2"/>
      <c r="B28" s="40">
        <v>231</v>
      </c>
      <c r="C28" s="40">
        <v>2244</v>
      </c>
      <c r="D28" s="40">
        <v>9.6999999999999993</v>
      </c>
      <c r="E28" s="40">
        <v>16</v>
      </c>
      <c r="F28" s="40">
        <v>20</v>
      </c>
      <c r="G28" s="40">
        <v>5</v>
      </c>
      <c r="H28" s="40">
        <v>49</v>
      </c>
      <c r="I28" s="40">
        <v>117</v>
      </c>
      <c r="J28" s="40">
        <v>50.6</v>
      </c>
      <c r="K28" s="40">
        <v>2</v>
      </c>
      <c r="L28" s="40">
        <v>19</v>
      </c>
    </row>
    <row r="29" spans="1:12" x14ac:dyDescent="0.2">
      <c r="A29" s="2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  <c r="L29" s="40"/>
    </row>
    <row r="30" spans="1:12" x14ac:dyDescent="0.2">
      <c r="A30" s="2"/>
      <c r="B30" s="40">
        <v>189</v>
      </c>
      <c r="C30" s="40">
        <v>1990</v>
      </c>
      <c r="D30" s="40">
        <v>10.5</v>
      </c>
      <c r="E30" s="40">
        <v>17</v>
      </c>
      <c r="F30" s="40">
        <v>25</v>
      </c>
      <c r="G30" s="40">
        <v>0</v>
      </c>
      <c r="H30" s="40">
        <v>38</v>
      </c>
      <c r="I30" s="40">
        <v>105</v>
      </c>
      <c r="J30" s="40">
        <v>55.6</v>
      </c>
      <c r="K30" s="40">
        <v>3</v>
      </c>
      <c r="L30" s="40">
        <v>44</v>
      </c>
    </row>
    <row r="31" spans="1:12" x14ac:dyDescent="0.2">
      <c r="A31" s="2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  <c r="L31" s="40"/>
    </row>
    <row r="32" spans="1:12" x14ac:dyDescent="0.2">
      <c r="A32" s="2"/>
      <c r="B32" s="40">
        <v>204</v>
      </c>
      <c r="C32" s="40">
        <v>2391</v>
      </c>
      <c r="D32" s="40">
        <v>11.7</v>
      </c>
      <c r="E32" s="40">
        <v>20</v>
      </c>
      <c r="F32" s="40">
        <v>27</v>
      </c>
      <c r="G32" s="40">
        <v>5</v>
      </c>
      <c r="H32" s="40" t="s">
        <v>30</v>
      </c>
      <c r="I32" s="40">
        <v>124</v>
      </c>
      <c r="J32" s="40">
        <v>60.8</v>
      </c>
      <c r="K32" s="40">
        <v>3</v>
      </c>
      <c r="L32" s="40">
        <v>28</v>
      </c>
    </row>
    <row r="33" spans="1:12" x14ac:dyDescent="0.2">
      <c r="A33" s="2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</row>
    <row r="34" spans="1:12" x14ac:dyDescent="0.2">
      <c r="A34" s="2"/>
      <c r="B34" s="40">
        <v>231</v>
      </c>
      <c r="C34" s="40">
        <v>2369</v>
      </c>
      <c r="D34" s="40">
        <v>10.3</v>
      </c>
      <c r="E34" s="40">
        <v>16</v>
      </c>
      <c r="F34" s="40">
        <v>29</v>
      </c>
      <c r="G34" s="40">
        <v>3</v>
      </c>
      <c r="H34" s="40">
        <v>58</v>
      </c>
      <c r="I34" s="40">
        <v>122</v>
      </c>
      <c r="J34" s="40">
        <v>52.8</v>
      </c>
      <c r="K34" s="40">
        <v>3</v>
      </c>
      <c r="L34" s="40">
        <v>43</v>
      </c>
    </row>
    <row r="35" spans="1:12" x14ac:dyDescent="0.2">
      <c r="A35" s="2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</row>
    <row r="36" spans="1:12" x14ac:dyDescent="0.2">
      <c r="A36" s="2"/>
      <c r="B36" s="40">
        <v>199</v>
      </c>
      <c r="C36" s="40">
        <v>2293</v>
      </c>
      <c r="D36" s="40">
        <v>11.5</v>
      </c>
      <c r="E36" s="40">
        <v>11</v>
      </c>
      <c r="F36" s="40">
        <v>36</v>
      </c>
      <c r="G36" s="40">
        <v>4</v>
      </c>
      <c r="H36" s="40">
        <v>55</v>
      </c>
      <c r="I36" s="40">
        <v>106</v>
      </c>
      <c r="J36" s="40">
        <v>53.3</v>
      </c>
      <c r="K36" s="40">
        <v>1</v>
      </c>
      <c r="L36" s="40">
        <v>23</v>
      </c>
    </row>
    <row r="37" spans="1:12" x14ac:dyDescent="0.2">
      <c r="A37" s="2" t="s">
        <v>44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</row>
    <row r="38" spans="1:12" x14ac:dyDescent="0.2">
      <c r="A38" s="2"/>
      <c r="B38" s="40">
        <v>200</v>
      </c>
      <c r="C38" s="40">
        <v>2328</v>
      </c>
      <c r="D38" s="40">
        <v>11.6</v>
      </c>
      <c r="E38" s="40">
        <v>13</v>
      </c>
      <c r="F38" s="40">
        <v>38</v>
      </c>
      <c r="G38" s="40">
        <v>4</v>
      </c>
      <c r="H38" s="40" t="s">
        <v>49</v>
      </c>
      <c r="I38" s="40">
        <v>116</v>
      </c>
      <c r="J38" s="40">
        <v>58</v>
      </c>
      <c r="K38" s="40">
        <v>4</v>
      </c>
      <c r="L38" s="40">
        <v>29</v>
      </c>
    </row>
    <row r="39" spans="1:12" x14ac:dyDescent="0.2">
      <c r="A39" s="2" t="s">
        <v>45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  <c r="L39" s="40"/>
    </row>
    <row r="40" spans="1:12" x14ac:dyDescent="0.2">
      <c r="A40" s="2"/>
      <c r="B40" s="40">
        <v>151</v>
      </c>
      <c r="C40" s="40">
        <v>2071</v>
      </c>
      <c r="D40" s="40">
        <v>13.7</v>
      </c>
      <c r="E40" s="40">
        <v>15</v>
      </c>
      <c r="F40" s="40">
        <v>32</v>
      </c>
      <c r="G40" s="40">
        <v>7</v>
      </c>
      <c r="H40" s="40" t="s">
        <v>17</v>
      </c>
      <c r="I40" s="40">
        <v>89</v>
      </c>
      <c r="J40" s="40">
        <v>58.9</v>
      </c>
      <c r="K40" s="40">
        <v>2</v>
      </c>
      <c r="L40" s="40">
        <v>22</v>
      </c>
    </row>
    <row r="41" spans="1:12" x14ac:dyDescent="0.2">
      <c r="A41" s="2" t="s">
        <v>46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  <c r="L41" s="40"/>
    </row>
    <row r="42" spans="1:12" x14ac:dyDescent="0.2">
      <c r="A42" s="2"/>
      <c r="B42" s="40">
        <v>201</v>
      </c>
      <c r="C42" s="40">
        <v>2049</v>
      </c>
      <c r="D42" s="40">
        <v>10.199999999999999</v>
      </c>
      <c r="E42" s="40">
        <v>15</v>
      </c>
      <c r="F42" s="40">
        <v>22</v>
      </c>
      <c r="G42" s="40">
        <v>6</v>
      </c>
      <c r="H42" s="40" t="s">
        <v>20</v>
      </c>
      <c r="I42" s="40">
        <v>105</v>
      </c>
      <c r="J42" s="40">
        <v>52.2</v>
      </c>
      <c r="K42" s="40">
        <v>0</v>
      </c>
      <c r="L42" s="40">
        <v>33</v>
      </c>
    </row>
    <row r="43" spans="1:12" x14ac:dyDescent="0.2">
      <c r="A43" s="2" t="s">
        <v>47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</row>
    <row r="44" spans="1:12" x14ac:dyDescent="0.2">
      <c r="A44" s="2"/>
      <c r="B44" s="40">
        <v>175</v>
      </c>
      <c r="C44" s="40">
        <v>1800</v>
      </c>
      <c r="D44" s="40">
        <v>10.3</v>
      </c>
      <c r="E44" s="40">
        <v>13</v>
      </c>
      <c r="F44" s="40">
        <v>23</v>
      </c>
      <c r="G44" s="40">
        <v>4</v>
      </c>
      <c r="H44" s="40">
        <v>53</v>
      </c>
      <c r="I44" s="40">
        <v>84</v>
      </c>
      <c r="J44" s="40">
        <v>48</v>
      </c>
      <c r="K44" s="40">
        <v>2</v>
      </c>
      <c r="L44" s="40">
        <v>35</v>
      </c>
    </row>
    <row r="45" spans="1:12" x14ac:dyDescent="0.2">
      <c r="A45" s="2" t="s">
        <v>48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  <c r="L45" s="40"/>
    </row>
    <row r="46" spans="1:12" x14ac:dyDescent="0.2">
      <c r="A46" s="2"/>
      <c r="B46" s="40">
        <v>187</v>
      </c>
      <c r="C46" s="40">
        <v>2214</v>
      </c>
      <c r="D46" s="40">
        <v>11.8</v>
      </c>
      <c r="E46" s="40">
        <v>12</v>
      </c>
      <c r="F46" s="40">
        <v>29</v>
      </c>
      <c r="G46" s="40">
        <v>3</v>
      </c>
      <c r="H46" s="40" t="s">
        <v>60</v>
      </c>
      <c r="I46" s="40">
        <v>104</v>
      </c>
      <c r="J46" s="40">
        <v>55.6</v>
      </c>
      <c r="K46" s="40">
        <v>2</v>
      </c>
      <c r="L46" s="40">
        <v>44</v>
      </c>
    </row>
    <row r="47" spans="1:12" x14ac:dyDescent="0.2">
      <c r="A47" s="2" t="s">
        <v>50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  <c r="L47" s="40"/>
    </row>
    <row r="48" spans="1:12" x14ac:dyDescent="0.2">
      <c r="A48" s="2"/>
      <c r="B48" s="40">
        <v>184</v>
      </c>
      <c r="C48" s="40">
        <v>1766</v>
      </c>
      <c r="D48" s="40">
        <v>9.6</v>
      </c>
      <c r="E48" s="40">
        <v>12</v>
      </c>
      <c r="F48" s="40">
        <v>20</v>
      </c>
      <c r="G48" s="40">
        <v>3</v>
      </c>
      <c r="H48" s="40">
        <v>52</v>
      </c>
      <c r="I48" s="40">
        <v>94</v>
      </c>
      <c r="J48" s="40">
        <v>51.1</v>
      </c>
      <c r="K48" s="40">
        <v>1</v>
      </c>
      <c r="L48" s="40">
        <v>33</v>
      </c>
    </row>
    <row r="49" spans="1:12" x14ac:dyDescent="0.2">
      <c r="A49" s="2" t="s">
        <v>51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</row>
    <row r="50" spans="1:12" x14ac:dyDescent="0.2">
      <c r="A50" s="2"/>
      <c r="B50" s="40">
        <v>237</v>
      </c>
      <c r="C50" s="40">
        <v>2451</v>
      </c>
      <c r="D50" s="40">
        <v>10.3</v>
      </c>
      <c r="E50" s="40">
        <v>10</v>
      </c>
      <c r="F50" s="40">
        <v>27</v>
      </c>
      <c r="G50" s="40">
        <v>4</v>
      </c>
      <c r="H50" s="40" t="s">
        <v>234</v>
      </c>
      <c r="I50" s="40">
        <v>122</v>
      </c>
      <c r="J50" s="40">
        <v>51.5</v>
      </c>
      <c r="K50" s="40">
        <v>2</v>
      </c>
      <c r="L50" s="40">
        <v>33</v>
      </c>
    </row>
    <row r="51" spans="1:12" x14ac:dyDescent="0.2">
      <c r="A51" s="2" t="s">
        <v>53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</row>
    <row r="52" spans="1:12" x14ac:dyDescent="0.2">
      <c r="A52" s="2"/>
      <c r="B52" s="40">
        <v>186</v>
      </c>
      <c r="C52" s="40">
        <v>2373</v>
      </c>
      <c r="D52" s="40">
        <v>12.8</v>
      </c>
      <c r="E52" s="40">
        <v>14</v>
      </c>
      <c r="F52" s="40">
        <v>35</v>
      </c>
      <c r="G52" s="40">
        <v>7</v>
      </c>
      <c r="H52" s="40" t="s">
        <v>233</v>
      </c>
      <c r="I52" s="40">
        <v>105</v>
      </c>
      <c r="J52" s="40">
        <v>56.5</v>
      </c>
      <c r="K52" s="40">
        <v>1</v>
      </c>
      <c r="L52" s="40">
        <v>35</v>
      </c>
    </row>
    <row r="53" spans="1:12" x14ac:dyDescent="0.2">
      <c r="A53" s="2" t="s">
        <v>54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</row>
    <row r="54" spans="1:12" x14ac:dyDescent="0.2">
      <c r="A54" s="2"/>
      <c r="B54" s="40">
        <v>187</v>
      </c>
      <c r="C54" s="40">
        <v>2311</v>
      </c>
      <c r="D54" s="40">
        <v>12.4</v>
      </c>
      <c r="E54" s="40">
        <v>12</v>
      </c>
      <c r="F54" s="40">
        <v>32</v>
      </c>
      <c r="G54" s="40">
        <v>8</v>
      </c>
      <c r="H54" s="40" t="s">
        <v>235</v>
      </c>
      <c r="I54" s="40">
        <v>98</v>
      </c>
      <c r="J54" s="40">
        <v>52.4</v>
      </c>
      <c r="K54" s="40">
        <v>2</v>
      </c>
      <c r="L54" s="40">
        <v>42</v>
      </c>
    </row>
    <row r="55" spans="1:12" x14ac:dyDescent="0.2">
      <c r="A55" s="2" t="s">
        <v>55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</row>
    <row r="56" spans="1:12" x14ac:dyDescent="0.2">
      <c r="A56" s="2"/>
      <c r="B56" s="40">
        <v>210</v>
      </c>
      <c r="C56" s="40">
        <v>2297</v>
      </c>
      <c r="D56" s="40">
        <v>10.9</v>
      </c>
      <c r="E56" s="40">
        <v>12</v>
      </c>
      <c r="F56" s="40">
        <v>21</v>
      </c>
      <c r="G56" s="40">
        <v>3</v>
      </c>
      <c r="H56" s="40" t="s">
        <v>34</v>
      </c>
      <c r="I56" s="40">
        <v>122</v>
      </c>
      <c r="J56" s="40">
        <v>58.1</v>
      </c>
      <c r="K56" s="40">
        <v>1</v>
      </c>
      <c r="L56" s="40">
        <v>34</v>
      </c>
    </row>
    <row r="57" spans="1:12" x14ac:dyDescent="0.2">
      <c r="A57" s="2" t="s">
        <v>56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</row>
    <row r="58" spans="1:12" x14ac:dyDescent="0.2">
      <c r="A58" s="2"/>
      <c r="B58" s="40">
        <v>176</v>
      </c>
      <c r="C58" s="40">
        <v>2085</v>
      </c>
      <c r="D58" s="40">
        <v>11.8</v>
      </c>
      <c r="E58" s="40">
        <v>12</v>
      </c>
      <c r="F58" s="40">
        <v>27</v>
      </c>
      <c r="G58" s="40">
        <v>3</v>
      </c>
      <c r="H58" s="40" t="s">
        <v>52</v>
      </c>
      <c r="I58" s="40">
        <v>94</v>
      </c>
      <c r="J58" s="40">
        <v>53.4</v>
      </c>
      <c r="K58" s="40">
        <v>5</v>
      </c>
      <c r="L58" s="40">
        <v>34</v>
      </c>
    </row>
    <row r="59" spans="1:12" x14ac:dyDescent="0.2">
      <c r="A59" s="2" t="s">
        <v>58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</row>
    <row r="60" spans="1:12" x14ac:dyDescent="0.2">
      <c r="A60" s="2"/>
      <c r="B60" s="40">
        <v>193</v>
      </c>
      <c r="C60" s="40">
        <v>2374</v>
      </c>
      <c r="D60" s="40">
        <v>12.3</v>
      </c>
      <c r="E60" s="40">
        <v>16</v>
      </c>
      <c r="F60" s="40">
        <v>32</v>
      </c>
      <c r="G60" s="40">
        <v>7</v>
      </c>
      <c r="H60" s="40">
        <v>68</v>
      </c>
      <c r="I60" s="40">
        <v>117</v>
      </c>
      <c r="J60" s="40">
        <v>60.6</v>
      </c>
      <c r="K60" s="40">
        <v>3</v>
      </c>
      <c r="L60" s="40">
        <v>33</v>
      </c>
    </row>
    <row r="61" spans="1:12" x14ac:dyDescent="0.2">
      <c r="A61" s="2" t="s">
        <v>59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</row>
    <row r="62" spans="1:12" x14ac:dyDescent="0.2">
      <c r="A62" s="2"/>
      <c r="B62" s="40">
        <v>230</v>
      </c>
      <c r="C62" s="40">
        <v>2562</v>
      </c>
      <c r="D62" s="40">
        <v>11.1</v>
      </c>
      <c r="E62" s="40">
        <v>16</v>
      </c>
      <c r="F62" s="40">
        <v>32</v>
      </c>
      <c r="G62" s="40">
        <v>6</v>
      </c>
      <c r="H62" s="40" t="s">
        <v>76</v>
      </c>
      <c r="I62" s="40">
        <v>118</v>
      </c>
      <c r="J62" s="40">
        <v>51.3</v>
      </c>
      <c r="K62" s="40">
        <v>4</v>
      </c>
      <c r="L62" s="40">
        <v>42</v>
      </c>
    </row>
    <row r="63" spans="1:12" x14ac:dyDescent="0.2">
      <c r="A63" s="2" t="s">
        <v>61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</row>
    <row r="64" spans="1:12" x14ac:dyDescent="0.2">
      <c r="A64" s="2"/>
      <c r="B64" s="40">
        <v>177</v>
      </c>
      <c r="C64" s="40">
        <v>2150</v>
      </c>
      <c r="D64" s="40">
        <v>12.1</v>
      </c>
      <c r="E64" s="40">
        <v>12</v>
      </c>
      <c r="F64" s="40">
        <v>28</v>
      </c>
      <c r="G64" s="40">
        <v>4</v>
      </c>
      <c r="H64" s="40" t="s">
        <v>28</v>
      </c>
      <c r="I64" s="40">
        <v>102</v>
      </c>
      <c r="J64" s="40">
        <v>57.6</v>
      </c>
      <c r="K64" s="40">
        <v>3</v>
      </c>
      <c r="L64" s="40">
        <v>29</v>
      </c>
    </row>
    <row r="65" spans="1:12" x14ac:dyDescent="0.2">
      <c r="A65" s="2" t="s">
        <v>62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</row>
  </sheetData>
  <mergeCells count="352">
    <mergeCell ref="B4:B5"/>
    <mergeCell ref="C4:C5"/>
    <mergeCell ref="D4:D5"/>
    <mergeCell ref="E4:E5"/>
    <mergeCell ref="F4:F5"/>
    <mergeCell ref="B2:B3"/>
    <mergeCell ref="C2:C3"/>
    <mergeCell ref="D2:D3"/>
    <mergeCell ref="E2:E3"/>
    <mergeCell ref="F2:F3"/>
    <mergeCell ref="G4:G5"/>
    <mergeCell ref="H4:H5"/>
    <mergeCell ref="I4:I5"/>
    <mergeCell ref="J4:J5"/>
    <mergeCell ref="K4:K5"/>
    <mergeCell ref="L4:L5"/>
    <mergeCell ref="H2:H3"/>
    <mergeCell ref="I2:I3"/>
    <mergeCell ref="J2:J3"/>
    <mergeCell ref="K2:K3"/>
    <mergeCell ref="L2:L3"/>
    <mergeCell ref="G2:G3"/>
    <mergeCell ref="B8:B9"/>
    <mergeCell ref="C8:C9"/>
    <mergeCell ref="D8:D9"/>
    <mergeCell ref="E8:E9"/>
    <mergeCell ref="F8:F9"/>
    <mergeCell ref="B6:B7"/>
    <mergeCell ref="C6:C7"/>
    <mergeCell ref="D6:D7"/>
    <mergeCell ref="E6:E7"/>
    <mergeCell ref="F6:F7"/>
    <mergeCell ref="G8:G9"/>
    <mergeCell ref="H8:H9"/>
    <mergeCell ref="I8:I9"/>
    <mergeCell ref="J8:J9"/>
    <mergeCell ref="K8:K9"/>
    <mergeCell ref="L8:L9"/>
    <mergeCell ref="H6:H7"/>
    <mergeCell ref="I6:I7"/>
    <mergeCell ref="J6:J7"/>
    <mergeCell ref="K6:K7"/>
    <mergeCell ref="L6:L7"/>
    <mergeCell ref="G6:G7"/>
    <mergeCell ref="B12:B13"/>
    <mergeCell ref="C12:C13"/>
    <mergeCell ref="D12:D13"/>
    <mergeCell ref="E12:E13"/>
    <mergeCell ref="F12:F13"/>
    <mergeCell ref="B10:B11"/>
    <mergeCell ref="C10:C11"/>
    <mergeCell ref="D10:D11"/>
    <mergeCell ref="E10:E11"/>
    <mergeCell ref="F10:F11"/>
    <mergeCell ref="G12:G13"/>
    <mergeCell ref="H12:H13"/>
    <mergeCell ref="I12:I13"/>
    <mergeCell ref="J12:J13"/>
    <mergeCell ref="K12:K13"/>
    <mergeCell ref="L12:L13"/>
    <mergeCell ref="H10:H11"/>
    <mergeCell ref="I10:I11"/>
    <mergeCell ref="J10:J11"/>
    <mergeCell ref="K10:K11"/>
    <mergeCell ref="L10:L11"/>
    <mergeCell ref="G10:G11"/>
    <mergeCell ref="B16:B17"/>
    <mergeCell ref="C16:C17"/>
    <mergeCell ref="D16:D17"/>
    <mergeCell ref="E16:E17"/>
    <mergeCell ref="F16:F17"/>
    <mergeCell ref="B14:B15"/>
    <mergeCell ref="C14:C15"/>
    <mergeCell ref="D14:D15"/>
    <mergeCell ref="E14:E15"/>
    <mergeCell ref="F14:F15"/>
    <mergeCell ref="G16:G17"/>
    <mergeCell ref="H16:H17"/>
    <mergeCell ref="I16:I17"/>
    <mergeCell ref="J16:J17"/>
    <mergeCell ref="K16:K17"/>
    <mergeCell ref="L16:L17"/>
    <mergeCell ref="H14:H15"/>
    <mergeCell ref="I14:I15"/>
    <mergeCell ref="J14:J15"/>
    <mergeCell ref="K14:K15"/>
    <mergeCell ref="L14:L15"/>
    <mergeCell ref="G14:G15"/>
    <mergeCell ref="B20:B21"/>
    <mergeCell ref="C20:C21"/>
    <mergeCell ref="D20:D21"/>
    <mergeCell ref="E20:E21"/>
    <mergeCell ref="F20:F21"/>
    <mergeCell ref="B18:B19"/>
    <mergeCell ref="C18:C19"/>
    <mergeCell ref="D18:D19"/>
    <mergeCell ref="E18:E19"/>
    <mergeCell ref="F18:F19"/>
    <mergeCell ref="G20:G21"/>
    <mergeCell ref="H20:H21"/>
    <mergeCell ref="I20:I21"/>
    <mergeCell ref="J20:J21"/>
    <mergeCell ref="K20:K21"/>
    <mergeCell ref="L20:L21"/>
    <mergeCell ref="H18:H19"/>
    <mergeCell ref="I18:I19"/>
    <mergeCell ref="J18:J19"/>
    <mergeCell ref="K18:K19"/>
    <mergeCell ref="L18:L19"/>
    <mergeCell ref="G18:G19"/>
    <mergeCell ref="B24:B25"/>
    <mergeCell ref="C24:C25"/>
    <mergeCell ref="D24:D25"/>
    <mergeCell ref="E24:E25"/>
    <mergeCell ref="F24:F25"/>
    <mergeCell ref="B22:B23"/>
    <mergeCell ref="C22:C23"/>
    <mergeCell ref="D22:D23"/>
    <mergeCell ref="E22:E23"/>
    <mergeCell ref="F22:F23"/>
    <mergeCell ref="G24:G25"/>
    <mergeCell ref="H24:H25"/>
    <mergeCell ref="I24:I25"/>
    <mergeCell ref="J24:J25"/>
    <mergeCell ref="K24:K25"/>
    <mergeCell ref="L24:L25"/>
    <mergeCell ref="H22:H23"/>
    <mergeCell ref="I22:I23"/>
    <mergeCell ref="J22:J23"/>
    <mergeCell ref="K22:K23"/>
    <mergeCell ref="L22:L23"/>
    <mergeCell ref="G22:G23"/>
    <mergeCell ref="B28:B29"/>
    <mergeCell ref="C28:C29"/>
    <mergeCell ref="D28:D29"/>
    <mergeCell ref="E28:E29"/>
    <mergeCell ref="F28:F29"/>
    <mergeCell ref="B26:B27"/>
    <mergeCell ref="C26:C27"/>
    <mergeCell ref="D26:D27"/>
    <mergeCell ref="E26:E27"/>
    <mergeCell ref="F26:F27"/>
    <mergeCell ref="G28:G29"/>
    <mergeCell ref="H28:H29"/>
    <mergeCell ref="I28:I29"/>
    <mergeCell ref="J28:J29"/>
    <mergeCell ref="K28:K29"/>
    <mergeCell ref="L28:L29"/>
    <mergeCell ref="H26:H27"/>
    <mergeCell ref="I26:I27"/>
    <mergeCell ref="J26:J27"/>
    <mergeCell ref="K26:K27"/>
    <mergeCell ref="L26:L27"/>
    <mergeCell ref="G26:G27"/>
    <mergeCell ref="B32:B33"/>
    <mergeCell ref="C32:C33"/>
    <mergeCell ref="D32:D33"/>
    <mergeCell ref="E32:E33"/>
    <mergeCell ref="F32:F33"/>
    <mergeCell ref="B30:B31"/>
    <mergeCell ref="C30:C31"/>
    <mergeCell ref="D30:D31"/>
    <mergeCell ref="E30:E31"/>
    <mergeCell ref="F30:F31"/>
    <mergeCell ref="G32:G33"/>
    <mergeCell ref="H32:H33"/>
    <mergeCell ref="I32:I33"/>
    <mergeCell ref="J32:J33"/>
    <mergeCell ref="K32:K33"/>
    <mergeCell ref="L32:L33"/>
    <mergeCell ref="H30:H31"/>
    <mergeCell ref="I30:I31"/>
    <mergeCell ref="J30:J31"/>
    <mergeCell ref="K30:K31"/>
    <mergeCell ref="L30:L31"/>
    <mergeCell ref="G30:G31"/>
    <mergeCell ref="B36:B37"/>
    <mergeCell ref="C36:C37"/>
    <mergeCell ref="D36:D37"/>
    <mergeCell ref="E36:E37"/>
    <mergeCell ref="F36:F37"/>
    <mergeCell ref="B34:B35"/>
    <mergeCell ref="C34:C35"/>
    <mergeCell ref="D34:D35"/>
    <mergeCell ref="E34:E35"/>
    <mergeCell ref="F34:F35"/>
    <mergeCell ref="G36:G37"/>
    <mergeCell ref="H36:H37"/>
    <mergeCell ref="I36:I37"/>
    <mergeCell ref="J36:J37"/>
    <mergeCell ref="K36:K37"/>
    <mergeCell ref="L36:L37"/>
    <mergeCell ref="H34:H35"/>
    <mergeCell ref="I34:I35"/>
    <mergeCell ref="J34:J35"/>
    <mergeCell ref="K34:K35"/>
    <mergeCell ref="L34:L35"/>
    <mergeCell ref="G34:G35"/>
    <mergeCell ref="B40:B41"/>
    <mergeCell ref="C40:C41"/>
    <mergeCell ref="D40:D41"/>
    <mergeCell ref="E40:E41"/>
    <mergeCell ref="F40:F41"/>
    <mergeCell ref="B38:B39"/>
    <mergeCell ref="C38:C39"/>
    <mergeCell ref="D38:D39"/>
    <mergeCell ref="E38:E39"/>
    <mergeCell ref="F38:F39"/>
    <mergeCell ref="G40:G41"/>
    <mergeCell ref="H40:H41"/>
    <mergeCell ref="I40:I41"/>
    <mergeCell ref="J40:J41"/>
    <mergeCell ref="K40:K41"/>
    <mergeCell ref="L40:L41"/>
    <mergeCell ref="H38:H39"/>
    <mergeCell ref="I38:I39"/>
    <mergeCell ref="J38:J39"/>
    <mergeCell ref="K38:K39"/>
    <mergeCell ref="L38:L39"/>
    <mergeCell ref="G38:G39"/>
    <mergeCell ref="B44:B45"/>
    <mergeCell ref="C44:C45"/>
    <mergeCell ref="D44:D45"/>
    <mergeCell ref="E44:E45"/>
    <mergeCell ref="F44:F45"/>
    <mergeCell ref="B42:B43"/>
    <mergeCell ref="C42:C43"/>
    <mergeCell ref="D42:D43"/>
    <mergeCell ref="E42:E43"/>
    <mergeCell ref="F42:F43"/>
    <mergeCell ref="G44:G45"/>
    <mergeCell ref="H44:H45"/>
    <mergeCell ref="I44:I45"/>
    <mergeCell ref="J44:J45"/>
    <mergeCell ref="K44:K45"/>
    <mergeCell ref="L44:L45"/>
    <mergeCell ref="H42:H43"/>
    <mergeCell ref="I42:I43"/>
    <mergeCell ref="J42:J43"/>
    <mergeCell ref="K42:K43"/>
    <mergeCell ref="L42:L43"/>
    <mergeCell ref="G42:G43"/>
    <mergeCell ref="B48:B49"/>
    <mergeCell ref="C48:C49"/>
    <mergeCell ref="D48:D49"/>
    <mergeCell ref="E48:E49"/>
    <mergeCell ref="F48:F49"/>
    <mergeCell ref="B46:B47"/>
    <mergeCell ref="C46:C47"/>
    <mergeCell ref="D46:D47"/>
    <mergeCell ref="E46:E47"/>
    <mergeCell ref="F46:F47"/>
    <mergeCell ref="G48:G49"/>
    <mergeCell ref="H48:H49"/>
    <mergeCell ref="I48:I49"/>
    <mergeCell ref="J48:J49"/>
    <mergeCell ref="K48:K49"/>
    <mergeCell ref="L48:L49"/>
    <mergeCell ref="H46:H47"/>
    <mergeCell ref="I46:I47"/>
    <mergeCell ref="J46:J47"/>
    <mergeCell ref="K46:K47"/>
    <mergeCell ref="L46:L47"/>
    <mergeCell ref="G46:G47"/>
    <mergeCell ref="B52:B53"/>
    <mergeCell ref="C52:C53"/>
    <mergeCell ref="D52:D53"/>
    <mergeCell ref="E52:E53"/>
    <mergeCell ref="F52:F53"/>
    <mergeCell ref="B50:B51"/>
    <mergeCell ref="C50:C51"/>
    <mergeCell ref="D50:D51"/>
    <mergeCell ref="E50:E51"/>
    <mergeCell ref="F50:F51"/>
    <mergeCell ref="G52:G53"/>
    <mergeCell ref="H52:H53"/>
    <mergeCell ref="I52:I53"/>
    <mergeCell ref="J52:J53"/>
    <mergeCell ref="K52:K53"/>
    <mergeCell ref="L52:L53"/>
    <mergeCell ref="H50:H51"/>
    <mergeCell ref="I50:I51"/>
    <mergeCell ref="J50:J51"/>
    <mergeCell ref="K50:K51"/>
    <mergeCell ref="L50:L51"/>
    <mergeCell ref="G50:G51"/>
    <mergeCell ref="B56:B57"/>
    <mergeCell ref="C56:C57"/>
    <mergeCell ref="D56:D57"/>
    <mergeCell ref="E56:E57"/>
    <mergeCell ref="F56:F57"/>
    <mergeCell ref="B54:B55"/>
    <mergeCell ref="C54:C55"/>
    <mergeCell ref="D54:D55"/>
    <mergeCell ref="E54:E55"/>
    <mergeCell ref="F54:F55"/>
    <mergeCell ref="G56:G57"/>
    <mergeCell ref="H56:H57"/>
    <mergeCell ref="I56:I57"/>
    <mergeCell ref="J56:J57"/>
    <mergeCell ref="K56:K57"/>
    <mergeCell ref="L56:L57"/>
    <mergeCell ref="H54:H55"/>
    <mergeCell ref="I54:I55"/>
    <mergeCell ref="J54:J55"/>
    <mergeCell ref="K54:K55"/>
    <mergeCell ref="L54:L55"/>
    <mergeCell ref="G54:G55"/>
    <mergeCell ref="B60:B61"/>
    <mergeCell ref="C60:C61"/>
    <mergeCell ref="D60:D61"/>
    <mergeCell ref="E60:E61"/>
    <mergeCell ref="F60:F61"/>
    <mergeCell ref="B58:B59"/>
    <mergeCell ref="C58:C59"/>
    <mergeCell ref="D58:D59"/>
    <mergeCell ref="E58:E59"/>
    <mergeCell ref="F58:F59"/>
    <mergeCell ref="G60:G61"/>
    <mergeCell ref="H60:H61"/>
    <mergeCell ref="I60:I61"/>
    <mergeCell ref="J60:J61"/>
    <mergeCell ref="K60:K61"/>
    <mergeCell ref="L60:L61"/>
    <mergeCell ref="H58:H59"/>
    <mergeCell ref="I58:I59"/>
    <mergeCell ref="J58:J59"/>
    <mergeCell ref="K58:K59"/>
    <mergeCell ref="L58:L59"/>
    <mergeCell ref="G58:G59"/>
    <mergeCell ref="B64:B65"/>
    <mergeCell ref="C64:C65"/>
    <mergeCell ref="D64:D65"/>
    <mergeCell ref="E64:E65"/>
    <mergeCell ref="F64:F65"/>
    <mergeCell ref="B62:B63"/>
    <mergeCell ref="C62:C63"/>
    <mergeCell ref="D62:D63"/>
    <mergeCell ref="E62:E63"/>
    <mergeCell ref="F62:F63"/>
    <mergeCell ref="G64:G65"/>
    <mergeCell ref="H64:H65"/>
    <mergeCell ref="I64:I65"/>
    <mergeCell ref="J64:J65"/>
    <mergeCell ref="K64:K65"/>
    <mergeCell ref="L64:L65"/>
    <mergeCell ref="H62:H63"/>
    <mergeCell ref="I62:I63"/>
    <mergeCell ref="J62:J63"/>
    <mergeCell ref="K62:K63"/>
    <mergeCell ref="L62:L63"/>
    <mergeCell ref="G62:G6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51C24-A6C4-8647-AA17-4537BBD9BB81}">
  <sheetPr codeName="Sheet7"/>
  <dimension ref="A1:X33"/>
  <sheetViews>
    <sheetView workbookViewId="0">
      <selection activeCell="G32" sqref="G32"/>
    </sheetView>
  </sheetViews>
  <sheetFormatPr baseColWidth="10" defaultRowHeight="16" x14ac:dyDescent="0.2"/>
  <cols>
    <col min="1" max="1" width="13" bestFit="1" customWidth="1"/>
  </cols>
  <sheetData>
    <row r="1" spans="1:24" s="3" customFormat="1" ht="19" x14ac:dyDescent="0.2">
      <c r="A1" s="7" t="s">
        <v>0</v>
      </c>
      <c r="B1" s="6" t="s">
        <v>1</v>
      </c>
      <c r="C1" s="11" t="s">
        <v>175</v>
      </c>
      <c r="D1" s="11" t="s">
        <v>79</v>
      </c>
      <c r="E1" s="6" t="s">
        <v>2</v>
      </c>
      <c r="F1" s="6" t="s">
        <v>3</v>
      </c>
      <c r="G1" s="11" t="s">
        <v>79</v>
      </c>
      <c r="H1" s="11" t="s">
        <v>4</v>
      </c>
      <c r="I1" s="11" t="s">
        <v>79</v>
      </c>
      <c r="J1" s="11" t="s">
        <v>75</v>
      </c>
      <c r="K1" s="11" t="s">
        <v>176</v>
      </c>
      <c r="L1" s="11" t="s">
        <v>79</v>
      </c>
      <c r="M1" s="6" t="s">
        <v>6</v>
      </c>
      <c r="N1" s="11" t="s">
        <v>174</v>
      </c>
      <c r="O1" s="11" t="s">
        <v>79</v>
      </c>
      <c r="P1" s="6" t="s">
        <v>7</v>
      </c>
      <c r="Q1" s="6" t="s">
        <v>8</v>
      </c>
      <c r="R1" s="6" t="s">
        <v>9</v>
      </c>
      <c r="S1" s="6" t="s">
        <v>10</v>
      </c>
      <c r="T1" s="6" t="s">
        <v>11</v>
      </c>
      <c r="U1" s="6" t="s">
        <v>12</v>
      </c>
      <c r="V1" s="6" t="s">
        <v>13</v>
      </c>
      <c r="W1" s="6" t="s">
        <v>14</v>
      </c>
      <c r="X1" s="9"/>
    </row>
    <row r="2" spans="1:24" x14ac:dyDescent="0.2">
      <c r="A2" s="8" t="s">
        <v>16</v>
      </c>
      <c r="B2" s="4">
        <f>'(pass def)'!B2</f>
        <v>248</v>
      </c>
      <c r="C2" s="14">
        <f>B2/'CURRENT WEEK'!B2</f>
        <v>31</v>
      </c>
      <c r="D2" s="4">
        <f>RANK(C2,$C$2:$C$33,1)</f>
        <v>4</v>
      </c>
      <c r="E2" s="4">
        <f>'(pass def)'!C2</f>
        <v>170</v>
      </c>
      <c r="F2" s="4">
        <f>'(pass def)'!D2</f>
        <v>68.5</v>
      </c>
      <c r="G2" s="4">
        <f>RANK(F2,$F$2:$F$33,1)</f>
        <v>28</v>
      </c>
      <c r="H2" s="13">
        <f>J2/B2</f>
        <v>7.193548387096774</v>
      </c>
      <c r="I2" s="4">
        <f>RANK(H2,$H$2:$H$33,1)</f>
        <v>16</v>
      </c>
      <c r="J2" s="4">
        <f>'(rec def)'!C2</f>
        <v>1784</v>
      </c>
      <c r="K2" s="14">
        <f>J2/'CURRENT WEEK'!B2</f>
        <v>223</v>
      </c>
      <c r="L2" s="4">
        <f>RANK(K2,$K$2:$K$33,1)</f>
        <v>5</v>
      </c>
      <c r="M2" s="4">
        <f>'(pass def)'!G2</f>
        <v>12</v>
      </c>
      <c r="N2" s="14">
        <f>M2/'CURRENT WEEK'!B2</f>
        <v>1.5</v>
      </c>
      <c r="O2" s="4">
        <f>RANK(N2,$N$2:$N$33,1)</f>
        <v>10</v>
      </c>
      <c r="P2" s="4">
        <f>'(pass def)'!H2</f>
        <v>2</v>
      </c>
      <c r="Q2" s="4">
        <f>'(pass def)'!I2</f>
        <v>101.9</v>
      </c>
      <c r="R2" s="4">
        <f>'(pass def)'!J2</f>
        <v>83</v>
      </c>
      <c r="S2" s="4">
        <f>'(pass def)'!K2</f>
        <v>33.5</v>
      </c>
      <c r="T2" s="4">
        <f>'(pass def)'!L2</f>
        <v>25</v>
      </c>
      <c r="U2" s="4">
        <f>'(pass def)'!M2</f>
        <v>7</v>
      </c>
      <c r="V2" s="4">
        <f>'(pass def)'!N2</f>
        <v>91</v>
      </c>
      <c r="W2" s="4">
        <f>'(pass def)'!O2</f>
        <v>18</v>
      </c>
      <c r="X2" s="10"/>
    </row>
    <row r="3" spans="1:24" x14ac:dyDescent="0.2">
      <c r="A3" s="8" t="s">
        <v>18</v>
      </c>
      <c r="B3" s="4">
        <f>'(pass def)'!B4</f>
        <v>280</v>
      </c>
      <c r="C3" s="14">
        <f>B3/'CURRENT WEEK'!B3</f>
        <v>31.111111111111111</v>
      </c>
      <c r="D3" s="4">
        <f t="shared" ref="D3:D33" si="0">RANK(C3,$C$2:$C$33,1)</f>
        <v>5</v>
      </c>
      <c r="E3" s="4">
        <f>'(pass def)'!C4</f>
        <v>181</v>
      </c>
      <c r="F3" s="4">
        <f>'(pass def)'!D4</f>
        <v>64.599999999999994</v>
      </c>
      <c r="G3" s="4">
        <f t="shared" ref="G3:G33" si="1">RANK(F3,$F$2:$F$33,1)</f>
        <v>11</v>
      </c>
      <c r="H3" s="13">
        <f t="shared" ref="H3:H33" si="2">J3/B3</f>
        <v>7.9535714285714283</v>
      </c>
      <c r="I3" s="4">
        <f t="shared" ref="I3:I33" si="3">RANK(H3,$H$2:$H$33,1)</f>
        <v>25</v>
      </c>
      <c r="J3" s="4">
        <f>'(rec def)'!C4</f>
        <v>2227</v>
      </c>
      <c r="K3" s="14">
        <f>J3/'CURRENT WEEK'!B3</f>
        <v>247.44444444444446</v>
      </c>
      <c r="L3" s="4">
        <f t="shared" ref="L3:L33" si="4">RANK(K3,$K$2:$K$33,1)</f>
        <v>11</v>
      </c>
      <c r="M3" s="4">
        <f>'(pass def)'!G4</f>
        <v>16</v>
      </c>
      <c r="N3" s="14">
        <f>M3/'CURRENT WEEK'!B3</f>
        <v>1.7777777777777777</v>
      </c>
      <c r="O3" s="4">
        <f t="shared" ref="O3:O33" si="5">RANK(N3,$N$2:$N$33,1)</f>
        <v>20</v>
      </c>
      <c r="P3" s="4">
        <f>'(pass def)'!H4</f>
        <v>4</v>
      </c>
      <c r="Q3" s="4">
        <f>'(pass def)'!I4</f>
        <v>102.2</v>
      </c>
      <c r="R3" s="4">
        <f>'(pass def)'!J4</f>
        <v>101</v>
      </c>
      <c r="S3" s="4">
        <f>'(pass def)'!K4</f>
        <v>36.1</v>
      </c>
      <c r="T3" s="4">
        <f>'(pass def)'!L4</f>
        <v>29</v>
      </c>
      <c r="U3" s="4">
        <f>'(pass def)'!M4</f>
        <v>8</v>
      </c>
      <c r="V3" s="4">
        <f>'(pass def)'!N4</f>
        <v>83</v>
      </c>
      <c r="W3" s="4">
        <f>'(pass def)'!O4</f>
        <v>25</v>
      </c>
      <c r="X3" s="10"/>
    </row>
    <row r="4" spans="1:24" x14ac:dyDescent="0.2">
      <c r="A4" s="8" t="s">
        <v>19</v>
      </c>
      <c r="B4" s="4">
        <f>'(pass def)'!B6</f>
        <v>349</v>
      </c>
      <c r="C4" s="14">
        <f>B4/'CURRENT WEEK'!B4</f>
        <v>38.777777777777779</v>
      </c>
      <c r="D4" s="4">
        <f t="shared" si="0"/>
        <v>27</v>
      </c>
      <c r="E4" s="4">
        <f>'(pass def)'!C6</f>
        <v>235</v>
      </c>
      <c r="F4" s="4">
        <f>'(pass def)'!D6</f>
        <v>67.3</v>
      </c>
      <c r="G4" s="4">
        <f t="shared" si="1"/>
        <v>21</v>
      </c>
      <c r="H4" s="13">
        <f t="shared" si="2"/>
        <v>7.1117478510028658</v>
      </c>
      <c r="I4" s="4">
        <f t="shared" si="3"/>
        <v>14</v>
      </c>
      <c r="J4" s="4">
        <f>'(rec def)'!C6</f>
        <v>2482</v>
      </c>
      <c r="K4" s="14">
        <f>J4/'CURRENT WEEK'!B4</f>
        <v>275.77777777777777</v>
      </c>
      <c r="L4" s="4">
        <f t="shared" si="4"/>
        <v>23</v>
      </c>
      <c r="M4" s="4">
        <f>'(pass def)'!G6</f>
        <v>12</v>
      </c>
      <c r="N4" s="14">
        <f>M4/'CURRENT WEEK'!B4</f>
        <v>1.3333333333333333</v>
      </c>
      <c r="O4" s="4">
        <f t="shared" si="5"/>
        <v>5</v>
      </c>
      <c r="P4" s="4">
        <f>'(pass def)'!H6</f>
        <v>7</v>
      </c>
      <c r="Q4" s="4">
        <f>'(pass def)'!I6</f>
        <v>90.9</v>
      </c>
      <c r="R4" s="4">
        <f>'(pass def)'!J6</f>
        <v>117</v>
      </c>
      <c r="S4" s="4">
        <f>'(pass def)'!K6</f>
        <v>33.5</v>
      </c>
      <c r="T4" s="4">
        <f>'(pass def)'!L6</f>
        <v>35</v>
      </c>
      <c r="U4" s="4">
        <f>'(pass def)'!M6</f>
        <v>3</v>
      </c>
      <c r="V4" s="4" t="str">
        <f>'(pass def)'!N6</f>
        <v>60T</v>
      </c>
      <c r="W4" s="4">
        <f>'(pass def)'!O6</f>
        <v>23</v>
      </c>
      <c r="X4" s="10"/>
    </row>
    <row r="5" spans="1:24" x14ac:dyDescent="0.2">
      <c r="A5" s="8" t="s">
        <v>21</v>
      </c>
      <c r="B5" s="4">
        <f>'(pass def)'!B8</f>
        <v>271</v>
      </c>
      <c r="C5" s="14">
        <f>B5/'CURRENT WEEK'!B5</f>
        <v>33.875</v>
      </c>
      <c r="D5" s="4">
        <f t="shared" si="0"/>
        <v>8</v>
      </c>
      <c r="E5" s="4">
        <f>'(pass def)'!C8</f>
        <v>157</v>
      </c>
      <c r="F5" s="4">
        <f>'(pass def)'!D8</f>
        <v>57.9</v>
      </c>
      <c r="G5" s="4">
        <f t="shared" si="1"/>
        <v>2</v>
      </c>
      <c r="H5" s="13">
        <f t="shared" si="2"/>
        <v>5.5830258302583022</v>
      </c>
      <c r="I5" s="4">
        <f t="shared" si="3"/>
        <v>1</v>
      </c>
      <c r="J5" s="4">
        <f>'(rec def)'!C8</f>
        <v>1513</v>
      </c>
      <c r="K5" s="14">
        <f>J5/'CURRENT WEEK'!B5</f>
        <v>189.125</v>
      </c>
      <c r="L5" s="4">
        <f t="shared" si="4"/>
        <v>1</v>
      </c>
      <c r="M5" s="4">
        <f>'(pass def)'!G8</f>
        <v>5</v>
      </c>
      <c r="N5" s="14">
        <f>M5/'CURRENT WEEK'!B5</f>
        <v>0.625</v>
      </c>
      <c r="O5" s="4">
        <f t="shared" si="5"/>
        <v>1</v>
      </c>
      <c r="P5" s="4">
        <f>'(pass def)'!H8</f>
        <v>11</v>
      </c>
      <c r="Q5" s="4">
        <f>'(pass def)'!I8</f>
        <v>62.9</v>
      </c>
      <c r="R5" s="4">
        <f>'(pass def)'!J8</f>
        <v>70</v>
      </c>
      <c r="S5" s="4">
        <f>'(pass def)'!K8</f>
        <v>25.8</v>
      </c>
      <c r="T5" s="4">
        <f>'(pass def)'!L8</f>
        <v>14</v>
      </c>
      <c r="U5" s="4">
        <f>'(pass def)'!M8</f>
        <v>3</v>
      </c>
      <c r="V5" s="4" t="str">
        <f>'(pass def)'!N8</f>
        <v>73T</v>
      </c>
      <c r="W5" s="4">
        <f>'(pass def)'!O8</f>
        <v>18</v>
      </c>
      <c r="X5" s="10"/>
    </row>
    <row r="6" spans="1:24" x14ac:dyDescent="0.2">
      <c r="A6" s="8" t="s">
        <v>22</v>
      </c>
      <c r="B6" s="4">
        <f>'(pass def)'!B10</f>
        <v>305</v>
      </c>
      <c r="C6" s="14">
        <f>B6/'CURRENT WEEK'!B6</f>
        <v>33.888888888888886</v>
      </c>
      <c r="D6" s="4">
        <f t="shared" si="0"/>
        <v>9</v>
      </c>
      <c r="E6" s="4">
        <f>'(pass def)'!C10</f>
        <v>174</v>
      </c>
      <c r="F6" s="4">
        <f>'(pass def)'!D10</f>
        <v>57</v>
      </c>
      <c r="G6" s="4">
        <f t="shared" si="1"/>
        <v>1</v>
      </c>
      <c r="H6" s="13">
        <f t="shared" si="2"/>
        <v>7.0688524590163935</v>
      </c>
      <c r="I6" s="4">
        <f t="shared" si="3"/>
        <v>11</v>
      </c>
      <c r="J6" s="4">
        <f>'(rec def)'!C10</f>
        <v>2156</v>
      </c>
      <c r="K6" s="14">
        <f>J6/'CURRENT WEEK'!B6</f>
        <v>239.55555555555554</v>
      </c>
      <c r="L6" s="4">
        <f t="shared" si="4"/>
        <v>8</v>
      </c>
      <c r="M6" s="4">
        <f>'(pass def)'!G10</f>
        <v>11</v>
      </c>
      <c r="N6" s="14">
        <f>M6/'CURRENT WEEK'!B6</f>
        <v>1.2222222222222223</v>
      </c>
      <c r="O6" s="4">
        <f t="shared" si="5"/>
        <v>3</v>
      </c>
      <c r="P6" s="4">
        <f>'(pass def)'!H10</f>
        <v>7</v>
      </c>
      <c r="Q6" s="4">
        <f>'(pass def)'!I10</f>
        <v>81.5</v>
      </c>
      <c r="R6" s="4">
        <f>'(pass def)'!J10</f>
        <v>102</v>
      </c>
      <c r="S6" s="4">
        <f>'(pass def)'!K10</f>
        <v>33.4</v>
      </c>
      <c r="T6" s="4">
        <f>'(pass def)'!L10</f>
        <v>34</v>
      </c>
      <c r="U6" s="4">
        <f>'(pass def)'!M10</f>
        <v>7</v>
      </c>
      <c r="V6" s="4">
        <f>'(pass def)'!N10</f>
        <v>59</v>
      </c>
      <c r="W6" s="4">
        <f>'(pass def)'!O10</f>
        <v>22</v>
      </c>
      <c r="X6" s="10"/>
    </row>
    <row r="7" spans="1:24" x14ac:dyDescent="0.2">
      <c r="A7" s="8" t="s">
        <v>23</v>
      </c>
      <c r="B7" s="4">
        <f>'(pass def)'!B12</f>
        <v>306</v>
      </c>
      <c r="C7" s="14">
        <f>B7/'CURRENT WEEK'!B7</f>
        <v>34</v>
      </c>
      <c r="D7" s="4">
        <f t="shared" si="0"/>
        <v>10</v>
      </c>
      <c r="E7" s="4">
        <f>'(pass def)'!C12</f>
        <v>191</v>
      </c>
      <c r="F7" s="4">
        <f>'(pass def)'!D12</f>
        <v>62.4</v>
      </c>
      <c r="G7" s="4">
        <f t="shared" si="1"/>
        <v>5</v>
      </c>
      <c r="H7" s="13">
        <f t="shared" si="2"/>
        <v>7.1993464052287583</v>
      </c>
      <c r="I7" s="4">
        <f t="shared" si="3"/>
        <v>17</v>
      </c>
      <c r="J7" s="4">
        <f>'(rec def)'!C12</f>
        <v>2203</v>
      </c>
      <c r="K7" s="14">
        <f>J7/'CURRENT WEEK'!B7</f>
        <v>244.77777777777777</v>
      </c>
      <c r="L7" s="4">
        <f t="shared" si="4"/>
        <v>9</v>
      </c>
      <c r="M7" s="4">
        <f>'(pass def)'!G12</f>
        <v>17</v>
      </c>
      <c r="N7" s="14">
        <f>M7/'CURRENT WEEK'!B7</f>
        <v>1.8888888888888888</v>
      </c>
      <c r="O7" s="4">
        <f t="shared" si="5"/>
        <v>27</v>
      </c>
      <c r="P7" s="4">
        <f>'(pass def)'!H12</f>
        <v>5</v>
      </c>
      <c r="Q7" s="4">
        <f>'(pass def)'!I12</f>
        <v>95.8</v>
      </c>
      <c r="R7" s="4">
        <f>'(pass def)'!J12</f>
        <v>103</v>
      </c>
      <c r="S7" s="4">
        <f>'(pass def)'!K12</f>
        <v>33.700000000000003</v>
      </c>
      <c r="T7" s="4">
        <f>'(pass def)'!L12</f>
        <v>29</v>
      </c>
      <c r="U7" s="4">
        <f>'(pass def)'!M12</f>
        <v>4</v>
      </c>
      <c r="V7" s="4" t="str">
        <f>'(pass def)'!N12</f>
        <v>75T</v>
      </c>
      <c r="W7" s="4">
        <f>'(pass def)'!O12</f>
        <v>27</v>
      </c>
      <c r="X7" s="10"/>
    </row>
    <row r="8" spans="1:24" x14ac:dyDescent="0.2">
      <c r="A8" s="8" t="s">
        <v>25</v>
      </c>
      <c r="B8" s="4">
        <f>'(pass def)'!B14</f>
        <v>322</v>
      </c>
      <c r="C8" s="14">
        <f>B8/'CURRENT WEEK'!B8</f>
        <v>40.25</v>
      </c>
      <c r="D8" s="4">
        <f t="shared" si="0"/>
        <v>30</v>
      </c>
      <c r="E8" s="4">
        <f>'(pass def)'!C14</f>
        <v>220</v>
      </c>
      <c r="F8" s="4">
        <f>'(pass def)'!D14</f>
        <v>68.3</v>
      </c>
      <c r="G8" s="4">
        <f t="shared" si="1"/>
        <v>27</v>
      </c>
      <c r="H8" s="13">
        <f t="shared" si="2"/>
        <v>6.6925465838509313</v>
      </c>
      <c r="I8" s="4">
        <f t="shared" si="3"/>
        <v>6</v>
      </c>
      <c r="J8" s="4">
        <f>'(rec def)'!C14</f>
        <v>2155</v>
      </c>
      <c r="K8" s="14">
        <f>J8/'CURRENT WEEK'!B8</f>
        <v>269.375</v>
      </c>
      <c r="L8" s="4">
        <f t="shared" si="4"/>
        <v>19</v>
      </c>
      <c r="M8" s="4">
        <f>'(pass def)'!G14</f>
        <v>16</v>
      </c>
      <c r="N8" s="14">
        <f>M8/'CURRENT WEEK'!B8</f>
        <v>2</v>
      </c>
      <c r="O8" s="4">
        <f t="shared" si="5"/>
        <v>29</v>
      </c>
      <c r="P8" s="4">
        <f>'(pass def)'!H14</f>
        <v>10</v>
      </c>
      <c r="Q8" s="4">
        <f>'(pass def)'!I14</f>
        <v>90.5</v>
      </c>
      <c r="R8" s="4">
        <f>'(pass def)'!J14</f>
        <v>109</v>
      </c>
      <c r="S8" s="4">
        <f>'(pass def)'!K14</f>
        <v>33.9</v>
      </c>
      <c r="T8" s="4">
        <f>'(pass def)'!L14</f>
        <v>32</v>
      </c>
      <c r="U8" s="4">
        <f>'(pass def)'!M14</f>
        <v>2</v>
      </c>
      <c r="V8" s="4" t="str">
        <f>'(pass def)'!N14</f>
        <v>75T</v>
      </c>
      <c r="W8" s="4">
        <f>'(pass def)'!O14</f>
        <v>17</v>
      </c>
      <c r="X8" s="10"/>
    </row>
    <row r="9" spans="1:24" x14ac:dyDescent="0.2">
      <c r="A9" s="8" t="s">
        <v>27</v>
      </c>
      <c r="B9" s="4">
        <f>'(pass def)'!B16</f>
        <v>312</v>
      </c>
      <c r="C9" s="14">
        <f>B9/'CURRENT WEEK'!B9</f>
        <v>34.666666666666664</v>
      </c>
      <c r="D9" s="4">
        <f t="shared" si="0"/>
        <v>16</v>
      </c>
      <c r="E9" s="4">
        <f>'(pass def)'!C16</f>
        <v>200</v>
      </c>
      <c r="F9" s="4">
        <f>'(pass def)'!D16</f>
        <v>64.099999999999994</v>
      </c>
      <c r="G9" s="4">
        <f t="shared" si="1"/>
        <v>9</v>
      </c>
      <c r="H9" s="13">
        <f t="shared" si="2"/>
        <v>6.5320512820512819</v>
      </c>
      <c r="I9" s="4">
        <f t="shared" si="3"/>
        <v>3</v>
      </c>
      <c r="J9" s="4">
        <f>'(rec def)'!C16</f>
        <v>2038</v>
      </c>
      <c r="K9" s="14">
        <f>J9/'CURRENT WEEK'!B9</f>
        <v>226.44444444444446</v>
      </c>
      <c r="L9" s="4">
        <f t="shared" si="4"/>
        <v>6</v>
      </c>
      <c r="M9" s="4">
        <f>'(pass def)'!G16</f>
        <v>13</v>
      </c>
      <c r="N9" s="14">
        <f>M9/'CURRENT WEEK'!B9</f>
        <v>1.4444444444444444</v>
      </c>
      <c r="O9" s="4">
        <f t="shared" si="5"/>
        <v>8</v>
      </c>
      <c r="P9" s="4">
        <f>'(pass def)'!H16</f>
        <v>7</v>
      </c>
      <c r="Q9" s="4">
        <f>'(pass def)'!I16</f>
        <v>87.3</v>
      </c>
      <c r="R9" s="4">
        <f>'(pass def)'!J16</f>
        <v>98</v>
      </c>
      <c r="S9" s="4">
        <f>'(pass def)'!K16</f>
        <v>31.4</v>
      </c>
      <c r="T9" s="4">
        <f>'(pass def)'!L16</f>
        <v>19</v>
      </c>
      <c r="U9" s="4">
        <f>'(pass def)'!M16</f>
        <v>2</v>
      </c>
      <c r="V9" s="4" t="str">
        <f>'(pass def)'!N16</f>
        <v>64T</v>
      </c>
      <c r="W9" s="4">
        <f>'(pass def)'!O16</f>
        <v>25</v>
      </c>
      <c r="X9" s="10"/>
    </row>
    <row r="10" spans="1:24" x14ac:dyDescent="0.2">
      <c r="A10" s="8" t="s">
        <v>29</v>
      </c>
      <c r="B10" s="4">
        <f>'(pass def)'!B18</f>
        <v>237</v>
      </c>
      <c r="C10" s="14">
        <f>B10/'CURRENT WEEK'!B10</f>
        <v>29.625</v>
      </c>
      <c r="D10" s="4">
        <f t="shared" si="0"/>
        <v>2</v>
      </c>
      <c r="E10" s="4">
        <f>'(pass def)'!C18</f>
        <v>156</v>
      </c>
      <c r="F10" s="4">
        <f>'(pass def)'!D18</f>
        <v>65.8</v>
      </c>
      <c r="G10" s="4">
        <f t="shared" si="1"/>
        <v>18</v>
      </c>
      <c r="H10" s="13">
        <f t="shared" si="2"/>
        <v>7.0843881856540083</v>
      </c>
      <c r="I10" s="4">
        <f t="shared" si="3"/>
        <v>12</v>
      </c>
      <c r="J10" s="4">
        <f>'(rec def)'!C18</f>
        <v>1679</v>
      </c>
      <c r="K10" s="14">
        <f>J10/'CURRENT WEEK'!B10</f>
        <v>209.875</v>
      </c>
      <c r="L10" s="4">
        <f t="shared" si="4"/>
        <v>3</v>
      </c>
      <c r="M10" s="4">
        <f>'(pass def)'!G18</f>
        <v>10</v>
      </c>
      <c r="N10" s="14">
        <f>M10/'CURRENT WEEK'!B10</f>
        <v>1.25</v>
      </c>
      <c r="O10" s="4">
        <f t="shared" si="5"/>
        <v>4</v>
      </c>
      <c r="P10" s="4">
        <f>'(pass def)'!H18</f>
        <v>6</v>
      </c>
      <c r="Q10" s="4">
        <f>'(pass def)'!I18</f>
        <v>90</v>
      </c>
      <c r="R10" s="4">
        <f>'(pass def)'!J18</f>
        <v>85</v>
      </c>
      <c r="S10" s="4">
        <f>'(pass def)'!K18</f>
        <v>35.9</v>
      </c>
      <c r="T10" s="4">
        <f>'(pass def)'!L18</f>
        <v>19</v>
      </c>
      <c r="U10" s="4">
        <f>'(pass def)'!M18</f>
        <v>5</v>
      </c>
      <c r="V10" s="4" t="str">
        <f>'(pass def)'!N18</f>
        <v>71T</v>
      </c>
      <c r="W10" s="4">
        <f>'(pass def)'!O18</f>
        <v>15</v>
      </c>
      <c r="X10" s="10"/>
    </row>
    <row r="11" spans="1:24" x14ac:dyDescent="0.2">
      <c r="A11" s="8" t="s">
        <v>31</v>
      </c>
      <c r="B11" s="4">
        <f>'(pass def)'!B20</f>
        <v>300</v>
      </c>
      <c r="C11" s="14">
        <f>B11/'CURRENT WEEK'!B11</f>
        <v>33.333333333333336</v>
      </c>
      <c r="D11" s="4">
        <f t="shared" si="0"/>
        <v>7</v>
      </c>
      <c r="E11" s="4">
        <f>'(pass def)'!C20</f>
        <v>200</v>
      </c>
      <c r="F11" s="4">
        <f>'(pass def)'!D20</f>
        <v>66.7</v>
      </c>
      <c r="G11" s="4">
        <f t="shared" si="1"/>
        <v>20</v>
      </c>
      <c r="H11" s="13">
        <f t="shared" si="2"/>
        <v>8.1033333333333335</v>
      </c>
      <c r="I11" s="4">
        <f t="shared" si="3"/>
        <v>29</v>
      </c>
      <c r="J11" s="4">
        <f>'(rec def)'!C20</f>
        <v>2431</v>
      </c>
      <c r="K11" s="14">
        <f>J11/'CURRENT WEEK'!B11</f>
        <v>270.11111111111109</v>
      </c>
      <c r="L11" s="4">
        <f t="shared" si="4"/>
        <v>20</v>
      </c>
      <c r="M11" s="4">
        <f>'(pass def)'!G20</f>
        <v>16</v>
      </c>
      <c r="N11" s="14">
        <f>M11/'CURRENT WEEK'!B11</f>
        <v>1.7777777777777777</v>
      </c>
      <c r="O11" s="4">
        <f t="shared" si="5"/>
        <v>20</v>
      </c>
      <c r="P11" s="4">
        <f>'(pass def)'!H20</f>
        <v>7</v>
      </c>
      <c r="Q11" s="4">
        <f>'(pass def)'!I20</f>
        <v>99.5</v>
      </c>
      <c r="R11" s="4">
        <f>'(pass def)'!J20</f>
        <v>114</v>
      </c>
      <c r="S11" s="4">
        <f>'(pass def)'!K20</f>
        <v>38</v>
      </c>
      <c r="T11" s="4">
        <f>'(pass def)'!L20</f>
        <v>34</v>
      </c>
      <c r="U11" s="4">
        <f>'(pass def)'!M20</f>
        <v>11</v>
      </c>
      <c r="V11" s="4">
        <f>'(pass def)'!N20</f>
        <v>61</v>
      </c>
      <c r="W11" s="4">
        <f>'(pass def)'!O20</f>
        <v>12</v>
      </c>
      <c r="X11" s="10"/>
    </row>
    <row r="12" spans="1:24" x14ac:dyDescent="0.2">
      <c r="A12" s="8" t="s">
        <v>33</v>
      </c>
      <c r="B12" s="4">
        <f>'(pass def)'!B22</f>
        <v>309</v>
      </c>
      <c r="C12" s="14">
        <f>B12/'CURRENT WEEK'!B12</f>
        <v>34.333333333333336</v>
      </c>
      <c r="D12" s="4">
        <f t="shared" si="0"/>
        <v>14</v>
      </c>
      <c r="E12" s="4">
        <f>'(pass def)'!C22</f>
        <v>214</v>
      </c>
      <c r="F12" s="4">
        <f>'(pass def)'!D22</f>
        <v>69.3</v>
      </c>
      <c r="G12" s="4">
        <f t="shared" si="1"/>
        <v>30</v>
      </c>
      <c r="H12" s="13">
        <f t="shared" si="2"/>
        <v>7.9967637540453076</v>
      </c>
      <c r="I12" s="4">
        <f t="shared" si="3"/>
        <v>26</v>
      </c>
      <c r="J12" s="4">
        <f>'(rec def)'!C22</f>
        <v>2471</v>
      </c>
      <c r="K12" s="14">
        <f>J12/'CURRENT WEEK'!B12</f>
        <v>274.55555555555554</v>
      </c>
      <c r="L12" s="4">
        <f t="shared" si="4"/>
        <v>22</v>
      </c>
      <c r="M12" s="4">
        <f>'(pass def)'!G22</f>
        <v>23</v>
      </c>
      <c r="N12" s="14">
        <f>M12/'CURRENT WEEK'!B12</f>
        <v>2.5555555555555554</v>
      </c>
      <c r="O12" s="4">
        <f t="shared" si="5"/>
        <v>32</v>
      </c>
      <c r="P12" s="4">
        <f>'(pass def)'!H22</f>
        <v>10</v>
      </c>
      <c r="Q12" s="4">
        <f>'(pass def)'!I22</f>
        <v>104.4</v>
      </c>
      <c r="R12" s="4">
        <f>'(pass def)'!J22</f>
        <v>125</v>
      </c>
      <c r="S12" s="4">
        <f>'(pass def)'!K22</f>
        <v>40.5</v>
      </c>
      <c r="T12" s="4">
        <f>'(pass def)'!L22</f>
        <v>27</v>
      </c>
      <c r="U12" s="4">
        <f>'(pass def)'!M22</f>
        <v>6</v>
      </c>
      <c r="V12" s="4" t="str">
        <f>'(pass def)'!N22</f>
        <v>69T</v>
      </c>
      <c r="W12" s="4">
        <f>'(pass def)'!O22</f>
        <v>19</v>
      </c>
      <c r="X12" s="10"/>
    </row>
    <row r="13" spans="1:24" x14ac:dyDescent="0.2">
      <c r="A13" s="8" t="s">
        <v>35</v>
      </c>
      <c r="B13" s="4">
        <f>'(pass def)'!B24</f>
        <v>293</v>
      </c>
      <c r="C13" s="14">
        <f>B13/'CURRENT WEEK'!B13</f>
        <v>36.625</v>
      </c>
      <c r="D13" s="4">
        <f t="shared" si="0"/>
        <v>22</v>
      </c>
      <c r="E13" s="4">
        <f>'(pass def)'!C24</f>
        <v>192</v>
      </c>
      <c r="F13" s="4">
        <f>'(pass def)'!D24</f>
        <v>65.5</v>
      </c>
      <c r="G13" s="4">
        <f t="shared" si="1"/>
        <v>17</v>
      </c>
      <c r="H13" s="13">
        <f t="shared" si="2"/>
        <v>7.8498293515358366</v>
      </c>
      <c r="I13" s="4">
        <f t="shared" si="3"/>
        <v>23</v>
      </c>
      <c r="J13" s="4">
        <f>'(rec def)'!C24</f>
        <v>2300</v>
      </c>
      <c r="K13" s="14">
        <f>J13/'CURRENT WEEK'!B13</f>
        <v>287.5</v>
      </c>
      <c r="L13" s="4">
        <f t="shared" si="4"/>
        <v>27</v>
      </c>
      <c r="M13" s="4">
        <f>'(pass def)'!G24</f>
        <v>14</v>
      </c>
      <c r="N13" s="14">
        <f>M13/'CURRENT WEEK'!B13</f>
        <v>1.75</v>
      </c>
      <c r="O13" s="4">
        <f t="shared" si="5"/>
        <v>18</v>
      </c>
      <c r="P13" s="4">
        <f>'(pass def)'!H24</f>
        <v>11</v>
      </c>
      <c r="Q13" s="4">
        <f>'(pass def)'!I24</f>
        <v>89.7</v>
      </c>
      <c r="R13" s="4">
        <f>'(pass def)'!J24</f>
        <v>98</v>
      </c>
      <c r="S13" s="4">
        <f>'(pass def)'!K24</f>
        <v>33.4</v>
      </c>
      <c r="T13" s="4">
        <f>'(pass def)'!L24</f>
        <v>34</v>
      </c>
      <c r="U13" s="4">
        <f>'(pass def)'!M24</f>
        <v>7</v>
      </c>
      <c r="V13" s="4" t="str">
        <f>'(pass def)'!N24</f>
        <v>75T</v>
      </c>
      <c r="W13" s="4">
        <f>'(pass def)'!O24</f>
        <v>16</v>
      </c>
      <c r="X13" s="10"/>
    </row>
    <row r="14" spans="1:24" x14ac:dyDescent="0.2">
      <c r="A14" s="8" t="s">
        <v>37</v>
      </c>
      <c r="B14" s="4">
        <f>'(pass def)'!B26</f>
        <v>359</v>
      </c>
      <c r="C14" s="14">
        <f>B14/'CURRENT WEEK'!B14</f>
        <v>39.888888888888886</v>
      </c>
      <c r="D14" s="4">
        <f t="shared" si="0"/>
        <v>29</v>
      </c>
      <c r="E14" s="4">
        <f>'(pass def)'!C26</f>
        <v>232</v>
      </c>
      <c r="F14" s="4">
        <f>'(pass def)'!D26</f>
        <v>64.599999999999994</v>
      </c>
      <c r="G14" s="4">
        <f t="shared" si="1"/>
        <v>11</v>
      </c>
      <c r="H14" s="13">
        <f t="shared" si="2"/>
        <v>7.4373259052924787</v>
      </c>
      <c r="I14" s="4">
        <f t="shared" si="3"/>
        <v>19</v>
      </c>
      <c r="J14" s="4">
        <f>'(rec def)'!C26</f>
        <v>2670</v>
      </c>
      <c r="K14" s="14">
        <f>J14/'CURRENT WEEK'!B14</f>
        <v>296.66666666666669</v>
      </c>
      <c r="L14" s="4">
        <f t="shared" si="4"/>
        <v>31</v>
      </c>
      <c r="M14" s="4">
        <f>'(pass def)'!G26</f>
        <v>17</v>
      </c>
      <c r="N14" s="14">
        <f>M14/'CURRENT WEEK'!B14</f>
        <v>1.8888888888888888</v>
      </c>
      <c r="O14" s="4">
        <f t="shared" si="5"/>
        <v>27</v>
      </c>
      <c r="P14" s="4">
        <f>'(pass def)'!H26</f>
        <v>6</v>
      </c>
      <c r="Q14" s="4">
        <f>'(pass def)'!I26</f>
        <v>95.7</v>
      </c>
      <c r="R14" s="4">
        <f>'(pass def)'!J26</f>
        <v>132</v>
      </c>
      <c r="S14" s="4">
        <f>'(pass def)'!K26</f>
        <v>36.799999999999997</v>
      </c>
      <c r="T14" s="4">
        <f>'(pass def)'!L26</f>
        <v>41</v>
      </c>
      <c r="U14" s="4">
        <f>'(pass def)'!M26</f>
        <v>4</v>
      </c>
      <c r="V14" s="4" t="str">
        <f>'(pass def)'!N26</f>
        <v>62T</v>
      </c>
      <c r="W14" s="4">
        <f>'(pass def)'!O26</f>
        <v>17</v>
      </c>
      <c r="X14" s="10"/>
    </row>
    <row r="15" spans="1:24" x14ac:dyDescent="0.2">
      <c r="A15" s="8" t="s">
        <v>38</v>
      </c>
      <c r="B15" s="4">
        <f>'(pass def)'!B28</f>
        <v>306</v>
      </c>
      <c r="C15" s="14">
        <f>B15/'CURRENT WEEK'!B15</f>
        <v>34</v>
      </c>
      <c r="D15" s="4">
        <f t="shared" si="0"/>
        <v>10</v>
      </c>
      <c r="E15" s="4">
        <f>'(pass def)'!C28</f>
        <v>231</v>
      </c>
      <c r="F15" s="4">
        <f>'(pass def)'!D28</f>
        <v>75.5</v>
      </c>
      <c r="G15" s="4">
        <f t="shared" si="1"/>
        <v>32</v>
      </c>
      <c r="H15" s="13">
        <f t="shared" si="2"/>
        <v>7.333333333333333</v>
      </c>
      <c r="I15" s="4">
        <f t="shared" si="3"/>
        <v>18</v>
      </c>
      <c r="J15" s="4">
        <f>'(rec def)'!C28</f>
        <v>2244</v>
      </c>
      <c r="K15" s="14">
        <f>J15/'CURRENT WEEK'!B15</f>
        <v>249.33333333333334</v>
      </c>
      <c r="L15" s="4">
        <f t="shared" si="4"/>
        <v>13</v>
      </c>
      <c r="M15" s="4">
        <f>'(pass def)'!G28</f>
        <v>16</v>
      </c>
      <c r="N15" s="14">
        <f>M15/'CURRENT WEEK'!B15</f>
        <v>1.7777777777777777</v>
      </c>
      <c r="O15" s="4">
        <f t="shared" si="5"/>
        <v>20</v>
      </c>
      <c r="P15" s="4">
        <f>'(pass def)'!H28</f>
        <v>6</v>
      </c>
      <c r="Q15" s="4">
        <f>'(pass def)'!I28</f>
        <v>104.8</v>
      </c>
      <c r="R15" s="4">
        <f>'(pass def)'!J28</f>
        <v>117</v>
      </c>
      <c r="S15" s="4">
        <f>'(pass def)'!K28</f>
        <v>38.200000000000003</v>
      </c>
      <c r="T15" s="4">
        <f>'(pass def)'!L28</f>
        <v>20</v>
      </c>
      <c r="U15" s="4">
        <f>'(pass def)'!M28</f>
        <v>5</v>
      </c>
      <c r="V15" s="4">
        <f>'(pass def)'!N28</f>
        <v>49</v>
      </c>
      <c r="W15" s="4">
        <f>'(pass def)'!O28</f>
        <v>17</v>
      </c>
      <c r="X15" s="10"/>
    </row>
    <row r="16" spans="1:24" x14ac:dyDescent="0.2">
      <c r="A16" s="8" t="s">
        <v>39</v>
      </c>
      <c r="B16" s="4">
        <f>'(pass def)'!B30</f>
        <v>279</v>
      </c>
      <c r="C16" s="14">
        <f>B16/'CURRENT WEEK'!B16</f>
        <v>34.875</v>
      </c>
      <c r="D16" s="4">
        <f t="shared" si="0"/>
        <v>17</v>
      </c>
      <c r="E16" s="4">
        <f>'(pass def)'!C30</f>
        <v>189</v>
      </c>
      <c r="F16" s="4">
        <f>'(pass def)'!D30</f>
        <v>67.7</v>
      </c>
      <c r="G16" s="4">
        <f t="shared" si="1"/>
        <v>23</v>
      </c>
      <c r="H16" s="13">
        <f t="shared" si="2"/>
        <v>7.1326164874551967</v>
      </c>
      <c r="I16" s="4">
        <f t="shared" si="3"/>
        <v>15</v>
      </c>
      <c r="J16" s="4">
        <f>'(rec def)'!C30</f>
        <v>1990</v>
      </c>
      <c r="K16" s="14">
        <f>J16/'CURRENT WEEK'!B16</f>
        <v>248.75</v>
      </c>
      <c r="L16" s="4">
        <f t="shared" si="4"/>
        <v>12</v>
      </c>
      <c r="M16" s="4">
        <f>'(pass def)'!G30</f>
        <v>17</v>
      </c>
      <c r="N16" s="14">
        <f>M16/'CURRENT WEEK'!B16</f>
        <v>2.125</v>
      </c>
      <c r="O16" s="4">
        <f t="shared" si="5"/>
        <v>30</v>
      </c>
      <c r="P16" s="4">
        <f>'(pass def)'!H30</f>
        <v>3</v>
      </c>
      <c r="Q16" s="4">
        <f>'(pass def)'!I30</f>
        <v>104.1</v>
      </c>
      <c r="R16" s="4">
        <f>'(pass def)'!J30</f>
        <v>105</v>
      </c>
      <c r="S16" s="4">
        <f>'(pass def)'!K30</f>
        <v>37.6</v>
      </c>
      <c r="T16" s="4">
        <f>'(pass def)'!L30</f>
        <v>25</v>
      </c>
      <c r="U16" s="4">
        <f>'(pass def)'!M30</f>
        <v>0</v>
      </c>
      <c r="V16" s="4">
        <f>'(pass def)'!N30</f>
        <v>38</v>
      </c>
      <c r="W16" s="4">
        <f>'(pass def)'!O30</f>
        <v>11</v>
      </c>
      <c r="X16" s="10"/>
    </row>
    <row r="17" spans="1:24" x14ac:dyDescent="0.2">
      <c r="A17" s="8" t="s">
        <v>40</v>
      </c>
      <c r="B17" s="4">
        <f>'(pass def)'!B32</f>
        <v>303</v>
      </c>
      <c r="C17" s="14">
        <f>B17/'CURRENT WEEK'!B17</f>
        <v>37.875</v>
      </c>
      <c r="D17" s="4">
        <f t="shared" si="0"/>
        <v>26</v>
      </c>
      <c r="E17" s="4">
        <f>'(pass def)'!C32</f>
        <v>204</v>
      </c>
      <c r="F17" s="4">
        <f>'(pass def)'!D32</f>
        <v>67.3</v>
      </c>
      <c r="G17" s="4">
        <f t="shared" si="1"/>
        <v>21</v>
      </c>
      <c r="H17" s="13">
        <f t="shared" si="2"/>
        <v>7.891089108910891</v>
      </c>
      <c r="I17" s="4">
        <f t="shared" si="3"/>
        <v>24</v>
      </c>
      <c r="J17" s="4">
        <f>'(rec def)'!C32</f>
        <v>2391</v>
      </c>
      <c r="K17" s="14">
        <f>J17/'CURRENT WEEK'!B17</f>
        <v>298.875</v>
      </c>
      <c r="L17" s="4">
        <f t="shared" si="4"/>
        <v>32</v>
      </c>
      <c r="M17" s="4">
        <f>'(pass def)'!G32</f>
        <v>20</v>
      </c>
      <c r="N17" s="14">
        <f>M17/'CURRENT WEEK'!B17</f>
        <v>2.5</v>
      </c>
      <c r="O17" s="4">
        <f t="shared" si="5"/>
        <v>31</v>
      </c>
      <c r="P17" s="4">
        <f>'(pass def)'!H32</f>
        <v>4</v>
      </c>
      <c r="Q17" s="4">
        <f>'(pass def)'!I32</f>
        <v>107.6</v>
      </c>
      <c r="R17" s="4">
        <f>'(pass def)'!J32</f>
        <v>124</v>
      </c>
      <c r="S17" s="4">
        <f>'(pass def)'!K32</f>
        <v>40.9</v>
      </c>
      <c r="T17" s="4">
        <f>'(pass def)'!L32</f>
        <v>27</v>
      </c>
      <c r="U17" s="4">
        <f>'(pass def)'!M32</f>
        <v>5</v>
      </c>
      <c r="V17" s="4" t="str">
        <f>'(pass def)'!N32</f>
        <v>72T</v>
      </c>
      <c r="W17" s="4">
        <f>'(pass def)'!O32</f>
        <v>19</v>
      </c>
      <c r="X17" s="10"/>
    </row>
    <row r="18" spans="1:24" x14ac:dyDescent="0.2">
      <c r="A18" s="8" t="s">
        <v>42</v>
      </c>
      <c r="B18" s="4">
        <f>'(pass def)'!B34</f>
        <v>340</v>
      </c>
      <c r="C18" s="14">
        <f>B18/'CURRENT WEEK'!B18</f>
        <v>37.777777777777779</v>
      </c>
      <c r="D18" s="4">
        <f t="shared" si="0"/>
        <v>25</v>
      </c>
      <c r="E18" s="4">
        <f>'(pass def)'!C34</f>
        <v>231</v>
      </c>
      <c r="F18" s="4">
        <f>'(pass def)'!D34</f>
        <v>67.900000000000006</v>
      </c>
      <c r="G18" s="4">
        <f t="shared" si="1"/>
        <v>25</v>
      </c>
      <c r="H18" s="13">
        <f t="shared" si="2"/>
        <v>6.9676470588235295</v>
      </c>
      <c r="I18" s="4">
        <f t="shared" si="3"/>
        <v>7</v>
      </c>
      <c r="J18" s="4">
        <f>'(rec def)'!C34</f>
        <v>2369</v>
      </c>
      <c r="K18" s="14">
        <f>J18/'CURRENT WEEK'!B18</f>
        <v>263.22222222222223</v>
      </c>
      <c r="L18" s="4">
        <f t="shared" si="4"/>
        <v>16</v>
      </c>
      <c r="M18" s="4">
        <f>'(pass def)'!G34</f>
        <v>16</v>
      </c>
      <c r="N18" s="14">
        <f>M18/'CURRENT WEEK'!B18</f>
        <v>1.7777777777777777</v>
      </c>
      <c r="O18" s="4">
        <f t="shared" si="5"/>
        <v>20</v>
      </c>
      <c r="P18" s="4">
        <f>'(pass def)'!H34</f>
        <v>9</v>
      </c>
      <c r="Q18" s="4">
        <f>'(pass def)'!I34</f>
        <v>92.4</v>
      </c>
      <c r="R18" s="4">
        <f>'(pass def)'!J34</f>
        <v>122</v>
      </c>
      <c r="S18" s="4">
        <f>'(pass def)'!K34</f>
        <v>35.9</v>
      </c>
      <c r="T18" s="4">
        <f>'(pass def)'!L34</f>
        <v>29</v>
      </c>
      <c r="U18" s="4">
        <f>'(pass def)'!M34</f>
        <v>3</v>
      </c>
      <c r="V18" s="4">
        <f>'(pass def)'!N34</f>
        <v>58</v>
      </c>
      <c r="W18" s="4">
        <f>'(pass def)'!O34</f>
        <v>19</v>
      </c>
      <c r="X18" s="10"/>
    </row>
    <row r="19" spans="1:24" x14ac:dyDescent="0.2">
      <c r="A19" s="8" t="s">
        <v>44</v>
      </c>
      <c r="B19" s="4">
        <f>'(pass def)'!B36</f>
        <v>274</v>
      </c>
      <c r="C19" s="14">
        <f>B19/'CURRENT WEEK'!B19</f>
        <v>34.25</v>
      </c>
      <c r="D19" s="4">
        <f t="shared" si="0"/>
        <v>13</v>
      </c>
      <c r="E19" s="4">
        <f>'(pass def)'!C36</f>
        <v>199</v>
      </c>
      <c r="F19" s="4">
        <f>'(pass def)'!D36</f>
        <v>72.599999999999994</v>
      </c>
      <c r="G19" s="4">
        <f t="shared" si="1"/>
        <v>31</v>
      </c>
      <c r="H19" s="13">
        <f t="shared" si="2"/>
        <v>8.3686131386861309</v>
      </c>
      <c r="I19" s="4">
        <f t="shared" si="3"/>
        <v>31</v>
      </c>
      <c r="J19" s="4">
        <f>'(rec def)'!C36</f>
        <v>2293</v>
      </c>
      <c r="K19" s="14">
        <f>J19/'CURRENT WEEK'!B19</f>
        <v>286.625</v>
      </c>
      <c r="L19" s="4">
        <f t="shared" si="4"/>
        <v>25</v>
      </c>
      <c r="M19" s="4">
        <f>'(pass def)'!G36</f>
        <v>11</v>
      </c>
      <c r="N19" s="14">
        <f>M19/'CURRENT WEEK'!B19</f>
        <v>1.375</v>
      </c>
      <c r="O19" s="4">
        <f t="shared" si="5"/>
        <v>7</v>
      </c>
      <c r="P19" s="4">
        <f>'(pass def)'!H36</f>
        <v>4</v>
      </c>
      <c r="Q19" s="4">
        <f>'(pass def)'!I36</f>
        <v>104.8</v>
      </c>
      <c r="R19" s="4">
        <f>'(pass def)'!J36</f>
        <v>106</v>
      </c>
      <c r="S19" s="4">
        <f>'(pass def)'!K36</f>
        <v>38.700000000000003</v>
      </c>
      <c r="T19" s="4">
        <f>'(pass def)'!L36</f>
        <v>36</v>
      </c>
      <c r="U19" s="4">
        <f>'(pass def)'!M36</f>
        <v>4</v>
      </c>
      <c r="V19" s="4">
        <f>'(pass def)'!N36</f>
        <v>55</v>
      </c>
      <c r="W19" s="4">
        <f>'(pass def)'!O36</f>
        <v>15</v>
      </c>
      <c r="X19" s="10"/>
    </row>
    <row r="20" spans="1:24" x14ac:dyDescent="0.2">
      <c r="A20" s="8" t="s">
        <v>45</v>
      </c>
      <c r="B20" s="4">
        <f>'(pass def)'!B38</f>
        <v>291</v>
      </c>
      <c r="C20" s="14">
        <f>B20/'CURRENT WEEK'!B20</f>
        <v>36.375</v>
      </c>
      <c r="D20" s="4">
        <f t="shared" si="0"/>
        <v>21</v>
      </c>
      <c r="E20" s="4">
        <f>'(pass def)'!C38</f>
        <v>200</v>
      </c>
      <c r="F20" s="4">
        <f>'(pass def)'!D38</f>
        <v>68.7</v>
      </c>
      <c r="G20" s="4">
        <f t="shared" si="1"/>
        <v>29</v>
      </c>
      <c r="H20" s="13">
        <f t="shared" si="2"/>
        <v>8</v>
      </c>
      <c r="I20" s="4">
        <f t="shared" si="3"/>
        <v>27</v>
      </c>
      <c r="J20" s="4">
        <f>'(rec def)'!C38</f>
        <v>2328</v>
      </c>
      <c r="K20" s="14">
        <f>J20/'CURRENT WEEK'!B20</f>
        <v>291</v>
      </c>
      <c r="L20" s="4">
        <f t="shared" si="4"/>
        <v>29</v>
      </c>
      <c r="M20" s="4">
        <f>'(pass def)'!G38</f>
        <v>13</v>
      </c>
      <c r="N20" s="14">
        <f>M20/'CURRENT WEEK'!B20</f>
        <v>1.625</v>
      </c>
      <c r="O20" s="4">
        <f t="shared" si="5"/>
        <v>16</v>
      </c>
      <c r="P20" s="4">
        <f>'(pass def)'!H38</f>
        <v>1</v>
      </c>
      <c r="Q20" s="4">
        <f>'(pass def)'!I38</f>
        <v>106.1</v>
      </c>
      <c r="R20" s="4">
        <f>'(pass def)'!J38</f>
        <v>116</v>
      </c>
      <c r="S20" s="4">
        <f>'(pass def)'!K38</f>
        <v>39.9</v>
      </c>
      <c r="T20" s="4">
        <f>'(pass def)'!L38</f>
        <v>38</v>
      </c>
      <c r="U20" s="4">
        <f>'(pass def)'!M38</f>
        <v>4</v>
      </c>
      <c r="V20" s="4" t="str">
        <f>'(pass def)'!N38</f>
        <v>57T</v>
      </c>
      <c r="W20" s="4">
        <f>'(pass def)'!O38</f>
        <v>18</v>
      </c>
      <c r="X20" s="10"/>
    </row>
    <row r="21" spans="1:24" x14ac:dyDescent="0.2">
      <c r="A21" s="8" t="s">
        <v>46</v>
      </c>
      <c r="B21" s="4">
        <f>'(pass def)'!B40</f>
        <v>222</v>
      </c>
      <c r="C21" s="14">
        <f>B21/'CURRENT WEEK'!B21</f>
        <v>27.75</v>
      </c>
      <c r="D21" s="4">
        <f t="shared" si="0"/>
        <v>1</v>
      </c>
      <c r="E21" s="4">
        <f>'(pass def)'!C40</f>
        <v>151</v>
      </c>
      <c r="F21" s="4">
        <f>'(pass def)'!D40</f>
        <v>68</v>
      </c>
      <c r="G21" s="4">
        <f t="shared" si="1"/>
        <v>26</v>
      </c>
      <c r="H21" s="13">
        <f t="shared" si="2"/>
        <v>9.3288288288288292</v>
      </c>
      <c r="I21" s="4">
        <f t="shared" si="3"/>
        <v>32</v>
      </c>
      <c r="J21" s="4">
        <f>'(rec def)'!C40</f>
        <v>2071</v>
      </c>
      <c r="K21" s="14">
        <f>J21/'CURRENT WEEK'!B21</f>
        <v>258.875</v>
      </c>
      <c r="L21" s="4">
        <f t="shared" si="4"/>
        <v>14</v>
      </c>
      <c r="M21" s="4">
        <f>'(pass def)'!G40</f>
        <v>15</v>
      </c>
      <c r="N21" s="14">
        <f>M21/'CURRENT WEEK'!B21</f>
        <v>1.875</v>
      </c>
      <c r="O21" s="4">
        <f t="shared" si="5"/>
        <v>26</v>
      </c>
      <c r="P21" s="4">
        <f>'(pass def)'!H40</f>
        <v>4</v>
      </c>
      <c r="Q21" s="4">
        <f>'(pass def)'!I40</f>
        <v>112.7</v>
      </c>
      <c r="R21" s="4">
        <f>'(pass def)'!J40</f>
        <v>89</v>
      </c>
      <c r="S21" s="4">
        <f>'(pass def)'!K40</f>
        <v>40.1</v>
      </c>
      <c r="T21" s="4">
        <f>'(pass def)'!L40</f>
        <v>32</v>
      </c>
      <c r="U21" s="4">
        <f>'(pass def)'!M40</f>
        <v>7</v>
      </c>
      <c r="V21" s="4" t="str">
        <f>'(pass def)'!N40</f>
        <v>79T</v>
      </c>
      <c r="W21" s="4">
        <f>'(pass def)'!O40</f>
        <v>14</v>
      </c>
      <c r="X21" s="10"/>
    </row>
    <row r="22" spans="1:24" x14ac:dyDescent="0.2">
      <c r="A22" s="8" t="s">
        <v>47</v>
      </c>
      <c r="B22" s="4">
        <f>'(pass def)'!B42</f>
        <v>309</v>
      </c>
      <c r="C22" s="14">
        <f>B22/'CURRENT WEEK'!B22</f>
        <v>34.333333333333336</v>
      </c>
      <c r="D22" s="4">
        <f t="shared" si="0"/>
        <v>14</v>
      </c>
      <c r="E22" s="4">
        <f>'(pass def)'!C42</f>
        <v>201</v>
      </c>
      <c r="F22" s="4">
        <f>'(pass def)'!D42</f>
        <v>65</v>
      </c>
      <c r="G22" s="4">
        <f t="shared" si="1"/>
        <v>14</v>
      </c>
      <c r="H22" s="13">
        <f t="shared" si="2"/>
        <v>6.6310679611650487</v>
      </c>
      <c r="I22" s="4">
        <f t="shared" si="3"/>
        <v>5</v>
      </c>
      <c r="J22" s="4">
        <f>'(rec def)'!C42</f>
        <v>2049</v>
      </c>
      <c r="K22" s="14">
        <f>J22/'CURRENT WEEK'!B22</f>
        <v>227.66666666666666</v>
      </c>
      <c r="L22" s="4">
        <f t="shared" si="4"/>
        <v>7</v>
      </c>
      <c r="M22" s="4">
        <f>'(pass def)'!G42</f>
        <v>15</v>
      </c>
      <c r="N22" s="14">
        <f>M22/'CURRENT WEEK'!B22</f>
        <v>1.6666666666666667</v>
      </c>
      <c r="O22" s="4">
        <f t="shared" si="5"/>
        <v>17</v>
      </c>
      <c r="P22" s="4">
        <f>'(pass def)'!H42</f>
        <v>9</v>
      </c>
      <c r="Q22" s="4">
        <f>'(pass def)'!I42</f>
        <v>88</v>
      </c>
      <c r="R22" s="4">
        <f>'(pass def)'!J42</f>
        <v>105</v>
      </c>
      <c r="S22" s="4">
        <f>'(pass def)'!K42</f>
        <v>34</v>
      </c>
      <c r="T22" s="4">
        <f>'(pass def)'!L42</f>
        <v>22</v>
      </c>
      <c r="U22" s="4">
        <f>'(pass def)'!M42</f>
        <v>6</v>
      </c>
      <c r="V22" s="4" t="str">
        <f>'(pass def)'!N42</f>
        <v>70T</v>
      </c>
      <c r="W22" s="4">
        <f>'(pass def)'!O42</f>
        <v>21</v>
      </c>
      <c r="X22" s="10"/>
    </row>
    <row r="23" spans="1:24" x14ac:dyDescent="0.2">
      <c r="A23" s="8" t="s">
        <v>48</v>
      </c>
      <c r="B23" s="4">
        <f>'(pass def)'!B44</f>
        <v>273</v>
      </c>
      <c r="C23" s="14">
        <f>B23/'CURRENT WEEK'!B23</f>
        <v>30.333333333333332</v>
      </c>
      <c r="D23" s="4">
        <f t="shared" si="0"/>
        <v>3</v>
      </c>
      <c r="E23" s="4">
        <f>'(pass def)'!C44</f>
        <v>175</v>
      </c>
      <c r="F23" s="4">
        <f>'(pass def)'!D44</f>
        <v>64.099999999999994</v>
      </c>
      <c r="G23" s="4">
        <f t="shared" si="1"/>
        <v>9</v>
      </c>
      <c r="H23" s="13">
        <f t="shared" si="2"/>
        <v>6.5934065934065931</v>
      </c>
      <c r="I23" s="4">
        <f t="shared" si="3"/>
        <v>4</v>
      </c>
      <c r="J23" s="4">
        <f>'(rec def)'!C44</f>
        <v>1800</v>
      </c>
      <c r="K23" s="14">
        <f>J23/'CURRENT WEEK'!B23</f>
        <v>200</v>
      </c>
      <c r="L23" s="4">
        <f t="shared" si="4"/>
        <v>2</v>
      </c>
      <c r="M23" s="4">
        <f>'(pass def)'!G44</f>
        <v>13</v>
      </c>
      <c r="N23" s="14">
        <f>M23/'CURRENT WEEK'!B23</f>
        <v>1.4444444444444444</v>
      </c>
      <c r="O23" s="4">
        <f t="shared" si="5"/>
        <v>8</v>
      </c>
      <c r="P23" s="4">
        <f>'(pass def)'!H44</f>
        <v>7</v>
      </c>
      <c r="Q23" s="4">
        <f>'(pass def)'!I44</f>
        <v>88.2</v>
      </c>
      <c r="R23" s="4">
        <f>'(pass def)'!J44</f>
        <v>84</v>
      </c>
      <c r="S23" s="4">
        <f>'(pass def)'!K44</f>
        <v>30.8</v>
      </c>
      <c r="T23" s="4">
        <f>'(pass def)'!L44</f>
        <v>23</v>
      </c>
      <c r="U23" s="4">
        <f>'(pass def)'!M44</f>
        <v>4</v>
      </c>
      <c r="V23" s="4">
        <f>'(pass def)'!N44</f>
        <v>53</v>
      </c>
      <c r="W23" s="4">
        <f>'(pass def)'!O44</f>
        <v>23</v>
      </c>
      <c r="X23" s="10"/>
    </row>
    <row r="24" spans="1:24" x14ac:dyDescent="0.2">
      <c r="A24" s="8" t="s">
        <v>50</v>
      </c>
      <c r="B24" s="4">
        <f>'(pass def)'!B46</f>
        <v>314</v>
      </c>
      <c r="C24" s="14">
        <f>B24/'CURRENT WEEK'!B24</f>
        <v>34.888888888888886</v>
      </c>
      <c r="D24" s="4">
        <f t="shared" si="0"/>
        <v>18</v>
      </c>
      <c r="E24" s="4">
        <f>'(pass def)'!C46</f>
        <v>187</v>
      </c>
      <c r="F24" s="4">
        <f>'(pass def)'!D46</f>
        <v>59.6</v>
      </c>
      <c r="G24" s="4">
        <f t="shared" si="1"/>
        <v>3</v>
      </c>
      <c r="H24" s="13">
        <f t="shared" si="2"/>
        <v>7.0509554140127388</v>
      </c>
      <c r="I24" s="4">
        <f t="shared" si="3"/>
        <v>10</v>
      </c>
      <c r="J24" s="4">
        <f>'(rec def)'!C46</f>
        <v>2214</v>
      </c>
      <c r="K24" s="14">
        <f>J24/'CURRENT WEEK'!B24</f>
        <v>246</v>
      </c>
      <c r="L24" s="4">
        <f t="shared" si="4"/>
        <v>10</v>
      </c>
      <c r="M24" s="4">
        <f>'(pass def)'!G46</f>
        <v>12</v>
      </c>
      <c r="N24" s="14">
        <f>M24/'CURRENT WEEK'!B24</f>
        <v>1.3333333333333333</v>
      </c>
      <c r="O24" s="4">
        <f t="shared" si="5"/>
        <v>5</v>
      </c>
      <c r="P24" s="4">
        <f>'(pass def)'!H46</f>
        <v>13</v>
      </c>
      <c r="Q24" s="4">
        <f>'(pass def)'!I46</f>
        <v>76.599999999999994</v>
      </c>
      <c r="R24" s="4">
        <f>'(pass def)'!J46</f>
        <v>104</v>
      </c>
      <c r="S24" s="4">
        <f>'(pass def)'!K46</f>
        <v>33.1</v>
      </c>
      <c r="T24" s="4">
        <f>'(pass def)'!L46</f>
        <v>29</v>
      </c>
      <c r="U24" s="4">
        <f>'(pass def)'!M46</f>
        <v>3</v>
      </c>
      <c r="V24" s="4" t="str">
        <f>'(pass def)'!N46</f>
        <v>67T</v>
      </c>
      <c r="W24" s="4">
        <f>'(pass def)'!O46</f>
        <v>19</v>
      </c>
      <c r="X24" s="10"/>
    </row>
    <row r="25" spans="1:24" x14ac:dyDescent="0.2">
      <c r="A25" s="8" t="s">
        <v>51</v>
      </c>
      <c r="B25" s="4">
        <f>'(pass def)'!B48</f>
        <v>282</v>
      </c>
      <c r="C25" s="14">
        <f>B25/'CURRENT WEEK'!B25</f>
        <v>35.25</v>
      </c>
      <c r="D25" s="4">
        <f t="shared" si="0"/>
        <v>19</v>
      </c>
      <c r="E25" s="4">
        <f>'(pass def)'!C48</f>
        <v>184</v>
      </c>
      <c r="F25" s="4">
        <f>'(pass def)'!D48</f>
        <v>65.2</v>
      </c>
      <c r="G25" s="4">
        <f t="shared" si="1"/>
        <v>16</v>
      </c>
      <c r="H25" s="13">
        <f t="shared" si="2"/>
        <v>6.2624113475177303</v>
      </c>
      <c r="I25" s="4">
        <f t="shared" si="3"/>
        <v>2</v>
      </c>
      <c r="J25" s="4">
        <f>'(rec def)'!C48</f>
        <v>1766</v>
      </c>
      <c r="K25" s="14">
        <f>J25/'CURRENT WEEK'!B25</f>
        <v>220.75</v>
      </c>
      <c r="L25" s="4">
        <f t="shared" si="4"/>
        <v>4</v>
      </c>
      <c r="M25" s="4">
        <f>'(pass def)'!G48</f>
        <v>12</v>
      </c>
      <c r="N25" s="14">
        <f>M25/'CURRENT WEEK'!B25</f>
        <v>1.5</v>
      </c>
      <c r="O25" s="4">
        <f t="shared" si="5"/>
        <v>10</v>
      </c>
      <c r="P25" s="4">
        <f>'(pass def)'!H48</f>
        <v>4</v>
      </c>
      <c r="Q25" s="4">
        <f>'(pass def)'!I48</f>
        <v>90.8</v>
      </c>
      <c r="R25" s="4">
        <f>'(pass def)'!J48</f>
        <v>94</v>
      </c>
      <c r="S25" s="4">
        <f>'(pass def)'!K48</f>
        <v>33.299999999999997</v>
      </c>
      <c r="T25" s="4">
        <f>'(pass def)'!L48</f>
        <v>20</v>
      </c>
      <c r="U25" s="4">
        <f>'(pass def)'!M48</f>
        <v>3</v>
      </c>
      <c r="V25" s="4">
        <f>'(pass def)'!N48</f>
        <v>52</v>
      </c>
      <c r="W25" s="4">
        <f>'(pass def)'!O48</f>
        <v>21</v>
      </c>
      <c r="X25" s="10"/>
    </row>
    <row r="26" spans="1:24" x14ac:dyDescent="0.2">
      <c r="A26" s="8" t="s">
        <v>53</v>
      </c>
      <c r="B26" s="4">
        <f>'(pass def)'!B50</f>
        <v>350</v>
      </c>
      <c r="C26" s="14">
        <f>B26/'CURRENT WEEK'!B26</f>
        <v>38.888888888888886</v>
      </c>
      <c r="D26" s="4">
        <f t="shared" si="0"/>
        <v>28</v>
      </c>
      <c r="E26" s="4">
        <f>'(pass def)'!C50</f>
        <v>237</v>
      </c>
      <c r="F26" s="4">
        <f>'(pass def)'!D50</f>
        <v>67.7</v>
      </c>
      <c r="G26" s="4">
        <f t="shared" si="1"/>
        <v>23</v>
      </c>
      <c r="H26" s="13">
        <f t="shared" si="2"/>
        <v>7.0028571428571427</v>
      </c>
      <c r="I26" s="4">
        <f t="shared" si="3"/>
        <v>8</v>
      </c>
      <c r="J26" s="4">
        <f>'(rec def)'!C50</f>
        <v>2451</v>
      </c>
      <c r="K26" s="14">
        <f>J26/'CURRENT WEEK'!B26</f>
        <v>272.33333333333331</v>
      </c>
      <c r="L26" s="4">
        <f t="shared" si="4"/>
        <v>21</v>
      </c>
      <c r="M26" s="4">
        <f>'(pass def)'!G50</f>
        <v>10</v>
      </c>
      <c r="N26" s="14">
        <f>M26/'CURRENT WEEK'!B26</f>
        <v>1.1111111111111112</v>
      </c>
      <c r="O26" s="4">
        <f t="shared" si="5"/>
        <v>2</v>
      </c>
      <c r="P26" s="4">
        <f>'(pass def)'!H50</f>
        <v>12</v>
      </c>
      <c r="Q26" s="4">
        <f>'(pass def)'!I50</f>
        <v>82.9</v>
      </c>
      <c r="R26" s="4">
        <f>'(pass def)'!J50</f>
        <v>122</v>
      </c>
      <c r="S26" s="4">
        <f>'(pass def)'!K50</f>
        <v>34.9</v>
      </c>
      <c r="T26" s="4">
        <f>'(pass def)'!L50</f>
        <v>27</v>
      </c>
      <c r="U26" s="4">
        <f>'(pass def)'!M50</f>
        <v>4</v>
      </c>
      <c r="V26" s="4" t="str">
        <f>'(pass def)'!N50</f>
        <v>63T</v>
      </c>
      <c r="W26" s="4">
        <f>'(pass def)'!O50</f>
        <v>28</v>
      </c>
      <c r="X26" s="10"/>
    </row>
    <row r="27" spans="1:24" x14ac:dyDescent="0.2">
      <c r="A27" s="8" t="s">
        <v>54</v>
      </c>
      <c r="B27" s="4">
        <f>'(pass def)'!B52</f>
        <v>295</v>
      </c>
      <c r="C27" s="14">
        <f>B27/'CURRENT WEEK'!B27</f>
        <v>36.875</v>
      </c>
      <c r="D27" s="4">
        <f t="shared" si="0"/>
        <v>23</v>
      </c>
      <c r="E27" s="4">
        <f>'(pass def)'!C52</f>
        <v>186</v>
      </c>
      <c r="F27" s="4">
        <f>'(pass def)'!D52</f>
        <v>63.1</v>
      </c>
      <c r="G27" s="4">
        <f t="shared" si="1"/>
        <v>7</v>
      </c>
      <c r="H27" s="13">
        <f t="shared" si="2"/>
        <v>8.0440677966101699</v>
      </c>
      <c r="I27" s="4">
        <f t="shared" si="3"/>
        <v>28</v>
      </c>
      <c r="J27" s="4">
        <f>'(rec def)'!C52</f>
        <v>2373</v>
      </c>
      <c r="K27" s="14">
        <f>J27/'CURRENT WEEK'!B27</f>
        <v>296.625</v>
      </c>
      <c r="L27" s="4">
        <f t="shared" si="4"/>
        <v>30</v>
      </c>
      <c r="M27" s="4">
        <f>'(pass def)'!G52</f>
        <v>14</v>
      </c>
      <c r="N27" s="14">
        <f>M27/'CURRENT WEEK'!B27</f>
        <v>1.75</v>
      </c>
      <c r="O27" s="4">
        <f t="shared" si="5"/>
        <v>18</v>
      </c>
      <c r="P27" s="4">
        <f>'(pass def)'!H52</f>
        <v>5</v>
      </c>
      <c r="Q27" s="4">
        <f>'(pass def)'!I52</f>
        <v>96.9</v>
      </c>
      <c r="R27" s="4">
        <f>'(pass def)'!J52</f>
        <v>105</v>
      </c>
      <c r="S27" s="4">
        <f>'(pass def)'!K52</f>
        <v>35.6</v>
      </c>
      <c r="T27" s="4">
        <f>'(pass def)'!L52</f>
        <v>35</v>
      </c>
      <c r="U27" s="4">
        <f>'(pass def)'!M52</f>
        <v>7</v>
      </c>
      <c r="V27" s="4" t="str">
        <f>'(pass def)'!N52</f>
        <v>82T</v>
      </c>
      <c r="W27" s="4">
        <f>'(pass def)'!O52</f>
        <v>15</v>
      </c>
      <c r="X27" s="10"/>
    </row>
    <row r="28" spans="1:24" x14ac:dyDescent="0.2">
      <c r="A28" s="8" t="s">
        <v>55</v>
      </c>
      <c r="B28" s="4">
        <f>'(pass def)'!B54</f>
        <v>298</v>
      </c>
      <c r="C28" s="14">
        <f>B28/'CURRENT WEEK'!B28</f>
        <v>37.25</v>
      </c>
      <c r="D28" s="4">
        <f t="shared" si="0"/>
        <v>24</v>
      </c>
      <c r="E28" s="4">
        <f>'(pass def)'!C54</f>
        <v>187</v>
      </c>
      <c r="F28" s="4">
        <f>'(pass def)'!D54</f>
        <v>62.8</v>
      </c>
      <c r="G28" s="4">
        <f t="shared" si="1"/>
        <v>6</v>
      </c>
      <c r="H28" s="13">
        <f t="shared" si="2"/>
        <v>7.7550335570469802</v>
      </c>
      <c r="I28" s="4">
        <f t="shared" si="3"/>
        <v>22</v>
      </c>
      <c r="J28" s="4">
        <f>'(rec def)'!C54</f>
        <v>2311</v>
      </c>
      <c r="K28" s="14">
        <f>J28/'CURRENT WEEK'!B28</f>
        <v>288.875</v>
      </c>
      <c r="L28" s="4">
        <f t="shared" si="4"/>
        <v>28</v>
      </c>
      <c r="M28" s="4">
        <f>'(pass def)'!G54</f>
        <v>12</v>
      </c>
      <c r="N28" s="14">
        <f>M28/'CURRENT WEEK'!B28</f>
        <v>1.5</v>
      </c>
      <c r="O28" s="4">
        <f t="shared" si="5"/>
        <v>10</v>
      </c>
      <c r="P28" s="4">
        <f>'(pass def)'!H54</f>
        <v>11</v>
      </c>
      <c r="Q28" s="4">
        <f>'(pass def)'!I54</f>
        <v>84.7</v>
      </c>
      <c r="R28" s="4">
        <f>'(pass def)'!J54</f>
        <v>98</v>
      </c>
      <c r="S28" s="4">
        <f>'(pass def)'!K54</f>
        <v>32.9</v>
      </c>
      <c r="T28" s="4">
        <f>'(pass def)'!L54</f>
        <v>32</v>
      </c>
      <c r="U28" s="4">
        <f>'(pass def)'!M54</f>
        <v>8</v>
      </c>
      <c r="V28" s="4" t="str">
        <f>'(pass def)'!N54</f>
        <v>84T</v>
      </c>
      <c r="W28" s="4">
        <f>'(pass def)'!O54</f>
        <v>18</v>
      </c>
      <c r="X28" s="10"/>
    </row>
    <row r="29" spans="1:24" x14ac:dyDescent="0.2">
      <c r="A29" s="8" t="s">
        <v>56</v>
      </c>
      <c r="B29" s="4">
        <f>'(pass def)'!B56</f>
        <v>323</v>
      </c>
      <c r="C29" s="14">
        <f>B29/'CURRENT WEEK'!B29</f>
        <v>40.375</v>
      </c>
      <c r="D29" s="4">
        <f t="shared" si="0"/>
        <v>31</v>
      </c>
      <c r="E29" s="4">
        <f>'(pass def)'!C56</f>
        <v>210</v>
      </c>
      <c r="F29" s="4">
        <f>'(pass def)'!D56</f>
        <v>65</v>
      </c>
      <c r="G29" s="4">
        <f t="shared" si="1"/>
        <v>14</v>
      </c>
      <c r="H29" s="13">
        <f t="shared" si="2"/>
        <v>7.1114551083591335</v>
      </c>
      <c r="I29" s="4">
        <f t="shared" si="3"/>
        <v>13</v>
      </c>
      <c r="J29" s="4">
        <f>'(rec def)'!C56</f>
        <v>2297</v>
      </c>
      <c r="K29" s="14">
        <f>J29/'CURRENT WEEK'!B29</f>
        <v>287.125</v>
      </c>
      <c r="L29" s="4">
        <f t="shared" si="4"/>
        <v>26</v>
      </c>
      <c r="M29" s="4">
        <f>'(pass def)'!G56</f>
        <v>12</v>
      </c>
      <c r="N29" s="14">
        <f>M29/'CURRENT WEEK'!B29</f>
        <v>1.5</v>
      </c>
      <c r="O29" s="4">
        <f t="shared" si="5"/>
        <v>10</v>
      </c>
      <c r="P29" s="4">
        <f>'(pass def)'!H56</f>
        <v>3</v>
      </c>
      <c r="Q29" s="4">
        <f>'(pass def)'!I56</f>
        <v>94.4</v>
      </c>
      <c r="R29" s="4">
        <f>'(pass def)'!J56</f>
        <v>122</v>
      </c>
      <c r="S29" s="4">
        <f>'(pass def)'!K56</f>
        <v>37.799999999999997</v>
      </c>
      <c r="T29" s="4">
        <f>'(pass def)'!L56</f>
        <v>21</v>
      </c>
      <c r="U29" s="4">
        <f>'(pass def)'!M56</f>
        <v>3</v>
      </c>
      <c r="V29" s="4" t="str">
        <f>'(pass def)'!N56</f>
        <v>76T</v>
      </c>
      <c r="W29" s="4">
        <f>'(pass def)'!O56</f>
        <v>14</v>
      </c>
      <c r="X29" s="10"/>
    </row>
    <row r="30" spans="1:24" x14ac:dyDescent="0.2">
      <c r="A30" s="8" t="s">
        <v>58</v>
      </c>
      <c r="B30" s="4">
        <f>'(pass def)'!B58</f>
        <v>272</v>
      </c>
      <c r="C30" s="14">
        <f>B30/'CURRENT WEEK'!B30</f>
        <v>34</v>
      </c>
      <c r="D30" s="4">
        <f t="shared" si="0"/>
        <v>10</v>
      </c>
      <c r="E30" s="4">
        <f>'(pass def)'!C58</f>
        <v>176</v>
      </c>
      <c r="F30" s="4">
        <f>'(pass def)'!D58</f>
        <v>64.7</v>
      </c>
      <c r="G30" s="4">
        <f t="shared" si="1"/>
        <v>13</v>
      </c>
      <c r="H30" s="13">
        <f t="shared" si="2"/>
        <v>7.6654411764705879</v>
      </c>
      <c r="I30" s="4">
        <f t="shared" si="3"/>
        <v>21</v>
      </c>
      <c r="J30" s="4">
        <f>'(rec def)'!C58</f>
        <v>2085</v>
      </c>
      <c r="K30" s="14">
        <f>J30/'CURRENT WEEK'!B30</f>
        <v>260.625</v>
      </c>
      <c r="L30" s="4">
        <f t="shared" si="4"/>
        <v>15</v>
      </c>
      <c r="M30" s="4">
        <f>'(pass def)'!G58</f>
        <v>12</v>
      </c>
      <c r="N30" s="14">
        <f>M30/'CURRENT WEEK'!B30</f>
        <v>1.5</v>
      </c>
      <c r="O30" s="4">
        <f t="shared" si="5"/>
        <v>10</v>
      </c>
      <c r="P30" s="4">
        <f>'(pass def)'!H58</f>
        <v>3</v>
      </c>
      <c r="Q30" s="4">
        <f>'(pass def)'!I58</f>
        <v>98.1</v>
      </c>
      <c r="R30" s="4">
        <f>'(pass def)'!J58</f>
        <v>94</v>
      </c>
      <c r="S30" s="4">
        <f>'(pass def)'!K58</f>
        <v>34.6</v>
      </c>
      <c r="T30" s="4">
        <f>'(pass def)'!L58</f>
        <v>27</v>
      </c>
      <c r="U30" s="4">
        <f>'(pass def)'!M58</f>
        <v>3</v>
      </c>
      <c r="V30" s="4" t="str">
        <f>'(pass def)'!N58</f>
        <v>61T</v>
      </c>
      <c r="W30" s="4">
        <f>'(pass def)'!O58</f>
        <v>22</v>
      </c>
      <c r="X30" s="10"/>
    </row>
    <row r="31" spans="1:24" x14ac:dyDescent="0.2">
      <c r="A31" s="8" t="s">
        <v>59</v>
      </c>
      <c r="B31" s="4">
        <f>'(pass def)'!B60</f>
        <v>292</v>
      </c>
      <c r="C31" s="14">
        <f>B31/'CURRENT WEEK'!B31</f>
        <v>32.444444444444443</v>
      </c>
      <c r="D31" s="4">
        <f t="shared" si="0"/>
        <v>6</v>
      </c>
      <c r="E31" s="4">
        <f>'(pass def)'!C60</f>
        <v>193</v>
      </c>
      <c r="F31" s="4">
        <f>'(pass def)'!D60</f>
        <v>66.099999999999994</v>
      </c>
      <c r="G31" s="4">
        <f t="shared" si="1"/>
        <v>19</v>
      </c>
      <c r="H31" s="13">
        <f t="shared" si="2"/>
        <v>8.1301369863013697</v>
      </c>
      <c r="I31" s="4">
        <f t="shared" si="3"/>
        <v>30</v>
      </c>
      <c r="J31" s="4">
        <f>'(rec def)'!C60</f>
        <v>2374</v>
      </c>
      <c r="K31" s="14">
        <f>J31/'CURRENT WEEK'!B31</f>
        <v>263.77777777777777</v>
      </c>
      <c r="L31" s="4">
        <f t="shared" si="4"/>
        <v>17</v>
      </c>
      <c r="M31" s="4">
        <f>'(pass def)'!G60</f>
        <v>16</v>
      </c>
      <c r="N31" s="14">
        <f>M31/'CURRENT WEEK'!B31</f>
        <v>1.7777777777777777</v>
      </c>
      <c r="O31" s="4">
        <f t="shared" si="5"/>
        <v>20</v>
      </c>
      <c r="P31" s="4">
        <f>'(pass def)'!H60</f>
        <v>9</v>
      </c>
      <c r="Q31" s="4">
        <f>'(pass def)'!I60</f>
        <v>96.5</v>
      </c>
      <c r="R31" s="4">
        <f>'(pass def)'!J60</f>
        <v>117</v>
      </c>
      <c r="S31" s="4">
        <f>'(pass def)'!K60</f>
        <v>40.1</v>
      </c>
      <c r="T31" s="4">
        <f>'(pass def)'!L60</f>
        <v>32</v>
      </c>
      <c r="U31" s="4">
        <f>'(pass def)'!M60</f>
        <v>7</v>
      </c>
      <c r="V31" s="4">
        <f>'(pass def)'!N60</f>
        <v>68</v>
      </c>
      <c r="W31" s="4">
        <f>'(pass def)'!O60</f>
        <v>19</v>
      </c>
      <c r="X31" s="10"/>
    </row>
    <row r="32" spans="1:24" x14ac:dyDescent="0.2">
      <c r="A32" s="8" t="s">
        <v>61</v>
      </c>
      <c r="B32" s="4">
        <f>'(pass def)'!B62</f>
        <v>364</v>
      </c>
      <c r="C32" s="14">
        <f>B32/'CURRENT WEEK'!B32</f>
        <v>40.444444444444443</v>
      </c>
      <c r="D32" s="4">
        <f t="shared" si="0"/>
        <v>32</v>
      </c>
      <c r="E32" s="4">
        <f>'(pass def)'!C62</f>
        <v>230</v>
      </c>
      <c r="F32" s="4">
        <f>'(pass def)'!D62</f>
        <v>63.2</v>
      </c>
      <c r="G32" s="4">
        <f t="shared" si="1"/>
        <v>8</v>
      </c>
      <c r="H32" s="13">
        <f t="shared" si="2"/>
        <v>7.0384615384615383</v>
      </c>
      <c r="I32" s="4">
        <f t="shared" si="3"/>
        <v>9</v>
      </c>
      <c r="J32" s="4">
        <f>'(rec def)'!C62</f>
        <v>2562</v>
      </c>
      <c r="K32" s="14">
        <f>J32/'CURRENT WEEK'!B32</f>
        <v>284.66666666666669</v>
      </c>
      <c r="L32" s="4">
        <f t="shared" si="4"/>
        <v>24</v>
      </c>
      <c r="M32" s="4">
        <f>'(pass def)'!G62</f>
        <v>16</v>
      </c>
      <c r="N32" s="14">
        <f>M32/'CURRENT WEEK'!B32</f>
        <v>1.7777777777777777</v>
      </c>
      <c r="O32" s="4">
        <f t="shared" si="5"/>
        <v>20</v>
      </c>
      <c r="P32" s="4">
        <f>'(pass def)'!H62</f>
        <v>9</v>
      </c>
      <c r="Q32" s="4">
        <f>'(pass def)'!I62</f>
        <v>88.4</v>
      </c>
      <c r="R32" s="4">
        <f>'(pass def)'!J62</f>
        <v>118</v>
      </c>
      <c r="S32" s="4">
        <f>'(pass def)'!K62</f>
        <v>32.4</v>
      </c>
      <c r="T32" s="4">
        <f>'(pass def)'!L62</f>
        <v>32</v>
      </c>
      <c r="U32" s="4">
        <f>'(pass def)'!M62</f>
        <v>6</v>
      </c>
      <c r="V32" s="4" t="str">
        <f>'(pass def)'!N62</f>
        <v>68T</v>
      </c>
      <c r="W32" s="4">
        <f>'(pass def)'!O62</f>
        <v>23</v>
      </c>
      <c r="X32" s="10"/>
    </row>
    <row r="33" spans="1:24" x14ac:dyDescent="0.2">
      <c r="A33" s="8" t="s">
        <v>62</v>
      </c>
      <c r="B33" s="4">
        <f>'(pass def)'!B64</f>
        <v>286</v>
      </c>
      <c r="C33" s="14">
        <f>B33/'CURRENT WEEK'!B33</f>
        <v>35.75</v>
      </c>
      <c r="D33" s="4">
        <f t="shared" si="0"/>
        <v>20</v>
      </c>
      <c r="E33" s="4">
        <f>'(pass def)'!C64</f>
        <v>177</v>
      </c>
      <c r="F33" s="4">
        <f>'(pass def)'!D64</f>
        <v>61.9</v>
      </c>
      <c r="G33" s="4">
        <f t="shared" si="1"/>
        <v>4</v>
      </c>
      <c r="H33" s="13">
        <f t="shared" si="2"/>
        <v>7.5174825174825175</v>
      </c>
      <c r="I33" s="4">
        <f t="shared" si="3"/>
        <v>20</v>
      </c>
      <c r="J33" s="4">
        <f>'(rec def)'!C64</f>
        <v>2150</v>
      </c>
      <c r="K33" s="14">
        <f>J33/'CURRENT WEEK'!B33</f>
        <v>268.75</v>
      </c>
      <c r="L33" s="4">
        <f t="shared" si="4"/>
        <v>18</v>
      </c>
      <c r="M33" s="4">
        <f>'(pass def)'!G64</f>
        <v>12</v>
      </c>
      <c r="N33" s="14">
        <f>M33/'CURRENT WEEK'!B33</f>
        <v>1.5</v>
      </c>
      <c r="O33" s="4">
        <f t="shared" si="5"/>
        <v>10</v>
      </c>
      <c r="P33" s="4">
        <f>'(pass def)'!H64</f>
        <v>7</v>
      </c>
      <c r="Q33" s="4">
        <f>'(pass def)'!I64</f>
        <v>88.8</v>
      </c>
      <c r="R33" s="4">
        <f>'(pass def)'!J64</f>
        <v>102</v>
      </c>
      <c r="S33" s="4">
        <f>'(pass def)'!K64</f>
        <v>35.700000000000003</v>
      </c>
      <c r="T33" s="4">
        <f>'(pass def)'!L64</f>
        <v>28</v>
      </c>
      <c r="U33" s="4">
        <f>'(pass def)'!M64</f>
        <v>4</v>
      </c>
      <c r="V33" s="4" t="str">
        <f>'(pass def)'!N64</f>
        <v>77T</v>
      </c>
      <c r="W33" s="4">
        <f>'(pass def)'!O64</f>
        <v>27</v>
      </c>
      <c r="X33" s="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259E2-D6CA-3C4C-A3B1-C2D3DB4D32F8}">
  <sheetPr codeName="Sheet8"/>
  <dimension ref="A1:M65"/>
  <sheetViews>
    <sheetView workbookViewId="0">
      <selection sqref="A1:K65"/>
    </sheetView>
  </sheetViews>
  <sheetFormatPr baseColWidth="10" defaultRowHeight="16" x14ac:dyDescent="0.2"/>
  <sheetData>
    <row r="1" spans="1:13" x14ac:dyDescent="0.2">
      <c r="A1" s="1" t="s">
        <v>0</v>
      </c>
      <c r="B1" s="2" t="s">
        <v>1</v>
      </c>
      <c r="C1" s="2" t="s">
        <v>64</v>
      </c>
      <c r="D1" s="2" t="s">
        <v>65</v>
      </c>
      <c r="E1" s="2" t="s">
        <v>6</v>
      </c>
      <c r="F1" s="2" t="s">
        <v>11</v>
      </c>
      <c r="G1" s="2" t="s">
        <v>12</v>
      </c>
      <c r="H1" s="2" t="s">
        <v>13</v>
      </c>
      <c r="I1" s="2" t="s">
        <v>66</v>
      </c>
      <c r="J1" s="2" t="s">
        <v>67</v>
      </c>
      <c r="K1" s="2" t="s">
        <v>68</v>
      </c>
      <c r="M1" s="33" t="s">
        <v>220</v>
      </c>
    </row>
    <row r="2" spans="1:13" x14ac:dyDescent="0.2">
      <c r="A2" s="2"/>
      <c r="B2" s="40">
        <v>241</v>
      </c>
      <c r="C2" s="40">
        <v>1053</v>
      </c>
      <c r="D2" s="40">
        <v>4.4000000000000004</v>
      </c>
      <c r="E2" s="40">
        <v>12</v>
      </c>
      <c r="F2" s="40">
        <v>8</v>
      </c>
      <c r="G2" s="40">
        <v>0</v>
      </c>
      <c r="H2" s="40">
        <v>35</v>
      </c>
      <c r="I2" s="40">
        <v>62</v>
      </c>
      <c r="J2" s="40">
        <v>25.7</v>
      </c>
      <c r="K2" s="40">
        <v>8</v>
      </c>
    </row>
    <row r="3" spans="1:13" x14ac:dyDescent="0.2">
      <c r="A3" s="2" t="s">
        <v>16</v>
      </c>
      <c r="B3" s="40"/>
      <c r="C3" s="40"/>
      <c r="D3" s="40"/>
      <c r="E3" s="40"/>
      <c r="F3" s="40"/>
      <c r="G3" s="40"/>
      <c r="H3" s="40"/>
      <c r="I3" s="40"/>
      <c r="J3" s="40"/>
      <c r="K3" s="40"/>
    </row>
    <row r="4" spans="1:13" x14ac:dyDescent="0.2">
      <c r="A4" s="2"/>
      <c r="B4" s="40">
        <v>252</v>
      </c>
      <c r="C4" s="40">
        <v>1105</v>
      </c>
      <c r="D4" s="40">
        <v>4.4000000000000004</v>
      </c>
      <c r="E4" s="40">
        <v>9</v>
      </c>
      <c r="F4" s="40">
        <v>6</v>
      </c>
      <c r="G4" s="40">
        <v>0</v>
      </c>
      <c r="H4" s="40">
        <v>39</v>
      </c>
      <c r="I4" s="40">
        <v>66</v>
      </c>
      <c r="J4" s="40">
        <v>26.2</v>
      </c>
      <c r="K4" s="40">
        <v>3</v>
      </c>
    </row>
    <row r="5" spans="1:13" x14ac:dyDescent="0.2">
      <c r="A5" s="2" t="s">
        <v>18</v>
      </c>
      <c r="B5" s="40"/>
      <c r="C5" s="40"/>
      <c r="D5" s="40"/>
      <c r="E5" s="40"/>
      <c r="F5" s="40"/>
      <c r="G5" s="40"/>
      <c r="H5" s="40"/>
      <c r="I5" s="40"/>
      <c r="J5" s="40"/>
      <c r="K5" s="40"/>
    </row>
    <row r="6" spans="1:13" x14ac:dyDescent="0.2">
      <c r="A6" s="2"/>
      <c r="B6" s="40">
        <v>215</v>
      </c>
      <c r="C6" s="40">
        <v>908</v>
      </c>
      <c r="D6" s="40">
        <v>4.2</v>
      </c>
      <c r="E6" s="40">
        <v>9</v>
      </c>
      <c r="F6" s="40">
        <v>5</v>
      </c>
      <c r="G6" s="40">
        <v>2</v>
      </c>
      <c r="H6" s="40" t="s">
        <v>20</v>
      </c>
      <c r="I6" s="40">
        <v>52</v>
      </c>
      <c r="J6" s="40">
        <v>24.2</v>
      </c>
      <c r="K6" s="40">
        <v>3</v>
      </c>
    </row>
    <row r="7" spans="1:13" x14ac:dyDescent="0.2">
      <c r="A7" s="2" t="s">
        <v>19</v>
      </c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3" x14ac:dyDescent="0.2">
      <c r="A8" s="2"/>
      <c r="B8" s="40">
        <v>179</v>
      </c>
      <c r="C8" s="40">
        <v>685</v>
      </c>
      <c r="D8" s="40">
        <v>3.8</v>
      </c>
      <c r="E8" s="40">
        <v>6</v>
      </c>
      <c r="F8" s="40">
        <v>3</v>
      </c>
      <c r="G8" s="40">
        <v>1</v>
      </c>
      <c r="H8" s="40" t="s">
        <v>34</v>
      </c>
      <c r="I8" s="40">
        <v>34</v>
      </c>
      <c r="J8" s="40">
        <v>19</v>
      </c>
      <c r="K8" s="40">
        <v>2</v>
      </c>
    </row>
    <row r="9" spans="1:13" x14ac:dyDescent="0.2">
      <c r="A9" s="2" t="s">
        <v>21</v>
      </c>
      <c r="B9" s="40"/>
      <c r="C9" s="40"/>
      <c r="D9" s="40"/>
      <c r="E9" s="40"/>
      <c r="F9" s="40"/>
      <c r="G9" s="40"/>
      <c r="H9" s="40"/>
      <c r="I9" s="40"/>
      <c r="J9" s="40"/>
      <c r="K9" s="40"/>
    </row>
    <row r="10" spans="1:13" x14ac:dyDescent="0.2">
      <c r="A10" s="2"/>
      <c r="B10" s="40">
        <v>210</v>
      </c>
      <c r="C10" s="40">
        <v>885</v>
      </c>
      <c r="D10" s="40">
        <v>4.2</v>
      </c>
      <c r="E10" s="40">
        <v>6</v>
      </c>
      <c r="F10" s="40">
        <v>3</v>
      </c>
      <c r="G10" s="40">
        <v>0</v>
      </c>
      <c r="H10" s="40">
        <v>20</v>
      </c>
      <c r="I10" s="40">
        <v>42</v>
      </c>
      <c r="J10" s="40">
        <v>20</v>
      </c>
      <c r="K10" s="40">
        <v>2</v>
      </c>
    </row>
    <row r="11" spans="1:13" x14ac:dyDescent="0.2">
      <c r="A11" s="2" t="s">
        <v>22</v>
      </c>
      <c r="B11" s="40"/>
      <c r="C11" s="40"/>
      <c r="D11" s="40"/>
      <c r="E11" s="40"/>
      <c r="F11" s="40"/>
      <c r="G11" s="40"/>
      <c r="H11" s="40"/>
      <c r="I11" s="40"/>
      <c r="J11" s="40"/>
      <c r="K11" s="40"/>
    </row>
    <row r="12" spans="1:13" x14ac:dyDescent="0.2">
      <c r="A12" s="2"/>
      <c r="B12" s="40">
        <v>216</v>
      </c>
      <c r="C12" s="40">
        <v>763</v>
      </c>
      <c r="D12" s="40">
        <v>3.5</v>
      </c>
      <c r="E12" s="40">
        <v>8</v>
      </c>
      <c r="F12" s="40">
        <v>2</v>
      </c>
      <c r="G12" s="40">
        <v>1</v>
      </c>
      <c r="H12" s="40">
        <v>40</v>
      </c>
      <c r="I12" s="40">
        <v>48</v>
      </c>
      <c r="J12" s="40">
        <v>22.2</v>
      </c>
      <c r="K12" s="40">
        <v>5</v>
      </c>
    </row>
    <row r="13" spans="1:13" x14ac:dyDescent="0.2">
      <c r="A13" s="2" t="s">
        <v>23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</row>
    <row r="14" spans="1:13" x14ac:dyDescent="0.2">
      <c r="A14" s="2"/>
      <c r="B14" s="40">
        <v>159</v>
      </c>
      <c r="C14" s="40">
        <v>624</v>
      </c>
      <c r="D14" s="40">
        <v>3.9</v>
      </c>
      <c r="E14" s="40">
        <v>4</v>
      </c>
      <c r="F14" s="40">
        <v>4</v>
      </c>
      <c r="G14" s="40">
        <v>0</v>
      </c>
      <c r="H14" s="40">
        <v>29</v>
      </c>
      <c r="I14" s="40">
        <v>36</v>
      </c>
      <c r="J14" s="40">
        <v>22.6</v>
      </c>
      <c r="K14" s="40">
        <v>1</v>
      </c>
    </row>
    <row r="15" spans="1:13" x14ac:dyDescent="0.2">
      <c r="A15" s="2" t="s">
        <v>25</v>
      </c>
      <c r="B15" s="40"/>
      <c r="C15" s="40"/>
      <c r="D15" s="40"/>
      <c r="E15" s="40"/>
      <c r="F15" s="40"/>
      <c r="G15" s="40"/>
      <c r="H15" s="40"/>
      <c r="I15" s="40"/>
      <c r="J15" s="40"/>
      <c r="K15" s="40"/>
    </row>
    <row r="16" spans="1:13" x14ac:dyDescent="0.2">
      <c r="A16" s="2"/>
      <c r="B16" s="40">
        <v>208</v>
      </c>
      <c r="C16" s="40">
        <v>1000</v>
      </c>
      <c r="D16" s="40">
        <v>4.8</v>
      </c>
      <c r="E16" s="40">
        <v>4</v>
      </c>
      <c r="F16" s="40">
        <v>2</v>
      </c>
      <c r="G16" s="40">
        <v>0</v>
      </c>
      <c r="H16" s="40">
        <v>29</v>
      </c>
      <c r="I16" s="40">
        <v>57</v>
      </c>
      <c r="J16" s="40">
        <v>27.4</v>
      </c>
      <c r="K16" s="40">
        <v>1</v>
      </c>
    </row>
    <row r="17" spans="1:11" x14ac:dyDescent="0.2">
      <c r="A17" s="2" t="s">
        <v>27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</row>
    <row r="18" spans="1:11" x14ac:dyDescent="0.2">
      <c r="A18" s="2"/>
      <c r="B18" s="40">
        <v>257</v>
      </c>
      <c r="C18" s="40">
        <v>1293</v>
      </c>
      <c r="D18" s="40">
        <v>5</v>
      </c>
      <c r="E18" s="40">
        <v>11</v>
      </c>
      <c r="F18" s="40">
        <v>8</v>
      </c>
      <c r="G18" s="40">
        <v>1</v>
      </c>
      <c r="H18" s="40" t="s">
        <v>70</v>
      </c>
      <c r="I18" s="40">
        <v>77</v>
      </c>
      <c r="J18" s="40">
        <v>30</v>
      </c>
      <c r="K18" s="40">
        <v>3</v>
      </c>
    </row>
    <row r="19" spans="1:11" x14ac:dyDescent="0.2">
      <c r="A19" s="2" t="s">
        <v>29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</row>
    <row r="20" spans="1:11" x14ac:dyDescent="0.2">
      <c r="A20" s="2"/>
      <c r="B20" s="40">
        <v>235</v>
      </c>
      <c r="C20" s="40">
        <v>1096</v>
      </c>
      <c r="D20" s="40">
        <v>4.7</v>
      </c>
      <c r="E20" s="40">
        <v>10</v>
      </c>
      <c r="F20" s="40">
        <v>5</v>
      </c>
      <c r="G20" s="40">
        <v>0</v>
      </c>
      <c r="H20" s="40">
        <v>31</v>
      </c>
      <c r="I20" s="40">
        <v>70</v>
      </c>
      <c r="J20" s="40">
        <v>29.8</v>
      </c>
      <c r="K20" s="40">
        <v>6</v>
      </c>
    </row>
    <row r="21" spans="1:11" x14ac:dyDescent="0.2">
      <c r="A21" s="2" t="s">
        <v>31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</row>
    <row r="22" spans="1:11" x14ac:dyDescent="0.2">
      <c r="A22" s="2"/>
      <c r="B22" s="40">
        <v>239</v>
      </c>
      <c r="C22" s="40">
        <v>958</v>
      </c>
      <c r="D22" s="40">
        <v>4</v>
      </c>
      <c r="E22" s="40">
        <v>2</v>
      </c>
      <c r="F22" s="40">
        <v>5</v>
      </c>
      <c r="G22" s="40">
        <v>0</v>
      </c>
      <c r="H22" s="40">
        <v>35</v>
      </c>
      <c r="I22" s="40">
        <v>52</v>
      </c>
      <c r="J22" s="40">
        <v>21.8</v>
      </c>
      <c r="K22" s="40">
        <v>7</v>
      </c>
    </row>
    <row r="23" spans="1:11" x14ac:dyDescent="0.2">
      <c r="A23" s="2" t="s">
        <v>33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</row>
    <row r="24" spans="1:11" x14ac:dyDescent="0.2">
      <c r="A24" s="2"/>
      <c r="B24" s="40">
        <v>186</v>
      </c>
      <c r="C24" s="40">
        <v>808</v>
      </c>
      <c r="D24" s="40">
        <v>4.3</v>
      </c>
      <c r="E24" s="40">
        <v>7</v>
      </c>
      <c r="F24" s="40">
        <v>6</v>
      </c>
      <c r="G24" s="40">
        <v>0</v>
      </c>
      <c r="H24" s="40">
        <v>30</v>
      </c>
      <c r="I24" s="40">
        <v>43</v>
      </c>
      <c r="J24" s="40">
        <v>23.1</v>
      </c>
      <c r="K24" s="40">
        <v>2</v>
      </c>
    </row>
    <row r="25" spans="1:11" x14ac:dyDescent="0.2">
      <c r="A25" s="2" t="s">
        <v>35</v>
      </c>
      <c r="B25" s="40"/>
      <c r="C25" s="40"/>
      <c r="D25" s="40"/>
      <c r="E25" s="40"/>
      <c r="F25" s="40"/>
      <c r="G25" s="40"/>
      <c r="H25" s="40"/>
      <c r="I25" s="40"/>
      <c r="J25" s="40"/>
      <c r="K25" s="40"/>
    </row>
    <row r="26" spans="1:11" x14ac:dyDescent="0.2">
      <c r="A26" s="2"/>
      <c r="B26" s="40">
        <v>235</v>
      </c>
      <c r="C26" s="40">
        <v>999</v>
      </c>
      <c r="D26" s="40">
        <v>4.3</v>
      </c>
      <c r="E26" s="40">
        <v>9</v>
      </c>
      <c r="F26" s="40">
        <v>7</v>
      </c>
      <c r="G26" s="40">
        <v>1</v>
      </c>
      <c r="H26" s="40" t="s">
        <v>69</v>
      </c>
      <c r="I26" s="40">
        <v>56</v>
      </c>
      <c r="J26" s="40">
        <v>23.8</v>
      </c>
      <c r="K26" s="40">
        <v>4</v>
      </c>
    </row>
    <row r="27" spans="1:11" x14ac:dyDescent="0.2">
      <c r="A27" s="2" t="s">
        <v>37</v>
      </c>
      <c r="B27" s="40"/>
      <c r="C27" s="40"/>
      <c r="D27" s="40"/>
      <c r="E27" s="40"/>
      <c r="F27" s="40"/>
      <c r="G27" s="40"/>
      <c r="H27" s="40"/>
      <c r="I27" s="40"/>
      <c r="J27" s="40"/>
      <c r="K27" s="40"/>
    </row>
    <row r="28" spans="1:11" x14ac:dyDescent="0.2">
      <c r="A28" s="2"/>
      <c r="B28" s="40">
        <v>272</v>
      </c>
      <c r="C28" s="40">
        <v>1077</v>
      </c>
      <c r="D28" s="40">
        <v>4</v>
      </c>
      <c r="E28" s="40">
        <v>10</v>
      </c>
      <c r="F28" s="40">
        <v>4</v>
      </c>
      <c r="G28" s="40">
        <v>0</v>
      </c>
      <c r="H28" s="40">
        <v>26</v>
      </c>
      <c r="I28" s="40">
        <v>71</v>
      </c>
      <c r="J28" s="40">
        <v>26.1</v>
      </c>
      <c r="K28" s="40">
        <v>3</v>
      </c>
    </row>
    <row r="29" spans="1:11" x14ac:dyDescent="0.2">
      <c r="A29" s="2" t="s">
        <v>38</v>
      </c>
      <c r="B29" s="40"/>
      <c r="C29" s="40"/>
      <c r="D29" s="40"/>
      <c r="E29" s="40"/>
      <c r="F29" s="40"/>
      <c r="G29" s="40"/>
      <c r="H29" s="40"/>
      <c r="I29" s="40"/>
      <c r="J29" s="40"/>
      <c r="K29" s="40"/>
    </row>
    <row r="30" spans="1:11" x14ac:dyDescent="0.2">
      <c r="A30" s="2"/>
      <c r="B30" s="40">
        <v>226</v>
      </c>
      <c r="C30" s="40">
        <v>985</v>
      </c>
      <c r="D30" s="40">
        <v>4.4000000000000004</v>
      </c>
      <c r="E30" s="40">
        <v>7</v>
      </c>
      <c r="F30" s="40">
        <v>3</v>
      </c>
      <c r="G30" s="40">
        <v>0</v>
      </c>
      <c r="H30" s="40">
        <v>23</v>
      </c>
      <c r="I30" s="40">
        <v>64</v>
      </c>
      <c r="J30" s="40">
        <v>28.3</v>
      </c>
      <c r="K30" s="40">
        <v>2</v>
      </c>
    </row>
    <row r="31" spans="1:11" x14ac:dyDescent="0.2">
      <c r="A31" s="2" t="s">
        <v>39</v>
      </c>
      <c r="B31" s="40"/>
      <c r="C31" s="40"/>
      <c r="D31" s="40"/>
      <c r="E31" s="40"/>
      <c r="F31" s="40"/>
      <c r="G31" s="40"/>
      <c r="H31" s="40"/>
      <c r="I31" s="40"/>
      <c r="J31" s="40"/>
      <c r="K31" s="40"/>
    </row>
    <row r="32" spans="1:11" x14ac:dyDescent="0.2">
      <c r="A32" s="2"/>
      <c r="B32" s="40">
        <v>205</v>
      </c>
      <c r="C32" s="40">
        <v>821</v>
      </c>
      <c r="D32" s="40">
        <v>4</v>
      </c>
      <c r="E32" s="40">
        <v>7</v>
      </c>
      <c r="F32" s="40">
        <v>4</v>
      </c>
      <c r="G32" s="40">
        <v>2</v>
      </c>
      <c r="H32" s="40">
        <v>46</v>
      </c>
      <c r="I32" s="40">
        <v>47</v>
      </c>
      <c r="J32" s="40">
        <v>22.9</v>
      </c>
      <c r="K32" s="40">
        <v>3</v>
      </c>
    </row>
    <row r="33" spans="1:11" x14ac:dyDescent="0.2">
      <c r="A33" s="2" t="s">
        <v>40</v>
      </c>
      <c r="B33" s="40"/>
      <c r="C33" s="40"/>
      <c r="D33" s="40"/>
      <c r="E33" s="40"/>
      <c r="F33" s="40"/>
      <c r="G33" s="40"/>
      <c r="H33" s="40"/>
      <c r="I33" s="40"/>
      <c r="J33" s="40"/>
      <c r="K33" s="40"/>
    </row>
    <row r="34" spans="1:11" x14ac:dyDescent="0.2">
      <c r="A34" s="2"/>
      <c r="B34" s="40">
        <v>246</v>
      </c>
      <c r="C34" s="40">
        <v>1103</v>
      </c>
      <c r="D34" s="40">
        <v>4.5</v>
      </c>
      <c r="E34" s="40">
        <v>7</v>
      </c>
      <c r="F34" s="40">
        <v>2</v>
      </c>
      <c r="G34" s="40">
        <v>1</v>
      </c>
      <c r="H34" s="40" t="s">
        <v>20</v>
      </c>
      <c r="I34" s="40">
        <v>61</v>
      </c>
      <c r="J34" s="40">
        <v>24.8</v>
      </c>
      <c r="K34" s="40">
        <v>1</v>
      </c>
    </row>
    <row r="35" spans="1:11" x14ac:dyDescent="0.2">
      <c r="A35" s="2" t="s">
        <v>42</v>
      </c>
      <c r="B35" s="40"/>
      <c r="C35" s="40"/>
      <c r="D35" s="40"/>
      <c r="E35" s="40"/>
      <c r="F35" s="40"/>
      <c r="G35" s="40"/>
      <c r="H35" s="40"/>
      <c r="I35" s="40"/>
      <c r="J35" s="40"/>
      <c r="K35" s="40"/>
    </row>
    <row r="36" spans="1:11" x14ac:dyDescent="0.2">
      <c r="A36" s="2"/>
      <c r="B36" s="40">
        <v>218</v>
      </c>
      <c r="C36" s="40">
        <v>827</v>
      </c>
      <c r="D36" s="40">
        <v>3.8</v>
      </c>
      <c r="E36" s="40">
        <v>10</v>
      </c>
      <c r="F36" s="40">
        <v>2</v>
      </c>
      <c r="G36" s="40">
        <v>0</v>
      </c>
      <c r="H36" s="40">
        <v>29</v>
      </c>
      <c r="I36" s="40">
        <v>50</v>
      </c>
      <c r="J36" s="40">
        <v>22.9</v>
      </c>
      <c r="K36" s="40">
        <v>3</v>
      </c>
    </row>
    <row r="37" spans="1:11" x14ac:dyDescent="0.2">
      <c r="A37" s="2" t="s">
        <v>44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</row>
    <row r="38" spans="1:11" x14ac:dyDescent="0.2">
      <c r="A38" s="2"/>
      <c r="B38" s="40">
        <v>232</v>
      </c>
      <c r="C38" s="40">
        <v>1066</v>
      </c>
      <c r="D38" s="40">
        <v>4.5999999999999996</v>
      </c>
      <c r="E38" s="40">
        <v>15</v>
      </c>
      <c r="F38" s="40">
        <v>7</v>
      </c>
      <c r="G38" s="40">
        <v>1</v>
      </c>
      <c r="H38" s="40" t="s">
        <v>249</v>
      </c>
      <c r="I38" s="40">
        <v>58</v>
      </c>
      <c r="J38" s="40">
        <v>25</v>
      </c>
      <c r="K38" s="40">
        <v>3</v>
      </c>
    </row>
    <row r="39" spans="1:11" x14ac:dyDescent="0.2">
      <c r="A39" s="2" t="s">
        <v>45</v>
      </c>
      <c r="B39" s="40"/>
      <c r="C39" s="40"/>
      <c r="D39" s="40"/>
      <c r="E39" s="40"/>
      <c r="F39" s="40"/>
      <c r="G39" s="40"/>
      <c r="H39" s="40"/>
      <c r="I39" s="40"/>
      <c r="J39" s="40"/>
      <c r="K39" s="40"/>
    </row>
    <row r="40" spans="1:11" x14ac:dyDescent="0.2">
      <c r="A40" s="2"/>
      <c r="B40" s="40">
        <v>249</v>
      </c>
      <c r="C40" s="40">
        <v>1076</v>
      </c>
      <c r="D40" s="40">
        <v>4.3</v>
      </c>
      <c r="E40" s="40">
        <v>10</v>
      </c>
      <c r="F40" s="40">
        <v>7</v>
      </c>
      <c r="G40" s="40">
        <v>1</v>
      </c>
      <c r="H40" s="40">
        <v>48</v>
      </c>
      <c r="I40" s="40">
        <v>63</v>
      </c>
      <c r="J40" s="40">
        <v>25.3</v>
      </c>
      <c r="K40" s="40">
        <v>2</v>
      </c>
    </row>
    <row r="41" spans="1:11" x14ac:dyDescent="0.2">
      <c r="A41" s="2" t="s">
        <v>46</v>
      </c>
      <c r="B41" s="40"/>
      <c r="C41" s="40"/>
      <c r="D41" s="40"/>
      <c r="E41" s="40"/>
      <c r="F41" s="40"/>
      <c r="G41" s="40"/>
      <c r="H41" s="40"/>
      <c r="I41" s="40"/>
      <c r="J41" s="40"/>
      <c r="K41" s="40"/>
    </row>
    <row r="42" spans="1:11" x14ac:dyDescent="0.2">
      <c r="A42" s="2"/>
      <c r="B42" s="40">
        <v>219</v>
      </c>
      <c r="C42" s="40">
        <v>997</v>
      </c>
      <c r="D42" s="40">
        <v>4.5999999999999996</v>
      </c>
      <c r="E42" s="40">
        <v>8</v>
      </c>
      <c r="F42" s="40">
        <v>4</v>
      </c>
      <c r="G42" s="40">
        <v>0</v>
      </c>
      <c r="H42" s="40">
        <v>38</v>
      </c>
      <c r="I42" s="40">
        <v>65</v>
      </c>
      <c r="J42" s="40">
        <v>29.7</v>
      </c>
      <c r="K42" s="40">
        <v>5</v>
      </c>
    </row>
    <row r="43" spans="1:11" x14ac:dyDescent="0.2">
      <c r="A43" s="2" t="s">
        <v>47</v>
      </c>
      <c r="B43" s="40"/>
      <c r="C43" s="40"/>
      <c r="D43" s="40"/>
      <c r="E43" s="40"/>
      <c r="F43" s="40"/>
      <c r="G43" s="40"/>
      <c r="H43" s="40"/>
      <c r="I43" s="40"/>
      <c r="J43" s="40"/>
      <c r="K43" s="40"/>
    </row>
    <row r="44" spans="1:11" x14ac:dyDescent="0.2">
      <c r="A44" s="2"/>
      <c r="B44" s="40">
        <v>233</v>
      </c>
      <c r="C44" s="40">
        <v>1005</v>
      </c>
      <c r="D44" s="40">
        <v>4.3</v>
      </c>
      <c r="E44" s="40">
        <v>7</v>
      </c>
      <c r="F44" s="40">
        <v>4</v>
      </c>
      <c r="G44" s="40">
        <v>1</v>
      </c>
      <c r="H44" s="40">
        <v>47</v>
      </c>
      <c r="I44" s="40">
        <v>55</v>
      </c>
      <c r="J44" s="40">
        <v>23.6</v>
      </c>
      <c r="K44" s="40">
        <v>5</v>
      </c>
    </row>
    <row r="45" spans="1:11" x14ac:dyDescent="0.2">
      <c r="A45" s="2" t="s">
        <v>48</v>
      </c>
      <c r="B45" s="40"/>
      <c r="C45" s="40"/>
      <c r="D45" s="40"/>
      <c r="E45" s="40"/>
      <c r="F45" s="40"/>
      <c r="G45" s="40"/>
      <c r="H45" s="40"/>
      <c r="I45" s="40"/>
      <c r="J45" s="40"/>
      <c r="K45" s="40"/>
    </row>
    <row r="46" spans="1:11" x14ac:dyDescent="0.2">
      <c r="A46" s="2"/>
      <c r="B46" s="40">
        <v>237</v>
      </c>
      <c r="C46" s="40">
        <v>980</v>
      </c>
      <c r="D46" s="40">
        <v>4.0999999999999996</v>
      </c>
      <c r="E46" s="40">
        <v>5</v>
      </c>
      <c r="F46" s="40">
        <v>4</v>
      </c>
      <c r="G46" s="40">
        <v>1</v>
      </c>
      <c r="H46" s="40">
        <v>75</v>
      </c>
      <c r="I46" s="40">
        <v>54</v>
      </c>
      <c r="J46" s="40">
        <v>22.8</v>
      </c>
      <c r="K46" s="40">
        <v>2</v>
      </c>
    </row>
    <row r="47" spans="1:11" x14ac:dyDescent="0.2">
      <c r="A47" s="2" t="s">
        <v>50</v>
      </c>
      <c r="B47" s="40"/>
      <c r="C47" s="40"/>
      <c r="D47" s="40"/>
      <c r="E47" s="40"/>
      <c r="F47" s="40"/>
      <c r="G47" s="40"/>
      <c r="H47" s="40"/>
      <c r="I47" s="40"/>
      <c r="J47" s="40"/>
      <c r="K47" s="40"/>
    </row>
    <row r="48" spans="1:11" x14ac:dyDescent="0.2">
      <c r="A48" s="2"/>
      <c r="B48" s="40">
        <v>232</v>
      </c>
      <c r="C48" s="40">
        <v>1068</v>
      </c>
      <c r="D48" s="40">
        <v>4.5999999999999996</v>
      </c>
      <c r="E48" s="40">
        <v>8</v>
      </c>
      <c r="F48" s="40">
        <v>7</v>
      </c>
      <c r="G48" s="40">
        <v>0</v>
      </c>
      <c r="H48" s="40" t="s">
        <v>72</v>
      </c>
      <c r="I48" s="40">
        <v>56</v>
      </c>
      <c r="J48" s="40">
        <v>24.1</v>
      </c>
      <c r="K48" s="40">
        <v>6</v>
      </c>
    </row>
    <row r="49" spans="1:11" x14ac:dyDescent="0.2">
      <c r="A49" s="2" t="s">
        <v>51</v>
      </c>
      <c r="B49" s="40"/>
      <c r="C49" s="40"/>
      <c r="D49" s="40"/>
      <c r="E49" s="40"/>
      <c r="F49" s="40"/>
      <c r="G49" s="40"/>
      <c r="H49" s="40"/>
      <c r="I49" s="40"/>
      <c r="J49" s="40"/>
      <c r="K49" s="40"/>
    </row>
    <row r="50" spans="1:11" x14ac:dyDescent="0.2">
      <c r="A50" s="2"/>
      <c r="B50" s="40">
        <v>216</v>
      </c>
      <c r="C50" s="40">
        <v>896</v>
      </c>
      <c r="D50" s="40">
        <v>4.0999999999999996</v>
      </c>
      <c r="E50" s="40">
        <v>10</v>
      </c>
      <c r="F50" s="40">
        <v>3</v>
      </c>
      <c r="G50" s="40">
        <v>2</v>
      </c>
      <c r="H50" s="40">
        <v>54</v>
      </c>
      <c r="I50" s="40">
        <v>60</v>
      </c>
      <c r="J50" s="40">
        <v>27.8</v>
      </c>
      <c r="K50" s="40">
        <v>1</v>
      </c>
    </row>
    <row r="51" spans="1:11" x14ac:dyDescent="0.2">
      <c r="A51" s="2" t="s">
        <v>53</v>
      </c>
      <c r="B51" s="40"/>
      <c r="C51" s="40"/>
      <c r="D51" s="40"/>
      <c r="E51" s="40"/>
      <c r="F51" s="40"/>
      <c r="G51" s="40"/>
      <c r="H51" s="40"/>
      <c r="I51" s="40"/>
      <c r="J51" s="40"/>
      <c r="K51" s="40"/>
    </row>
    <row r="52" spans="1:11" x14ac:dyDescent="0.2">
      <c r="A52" s="2"/>
      <c r="B52" s="40">
        <v>169</v>
      </c>
      <c r="C52" s="40">
        <v>734</v>
      </c>
      <c r="D52" s="40">
        <v>4.3</v>
      </c>
      <c r="E52" s="40">
        <v>9</v>
      </c>
      <c r="F52" s="40">
        <v>7</v>
      </c>
      <c r="G52" s="40">
        <v>2</v>
      </c>
      <c r="H52" s="40">
        <v>66</v>
      </c>
      <c r="I52" s="40">
        <v>42</v>
      </c>
      <c r="J52" s="40">
        <v>24.9</v>
      </c>
      <c r="K52" s="40">
        <v>2</v>
      </c>
    </row>
    <row r="53" spans="1:11" x14ac:dyDescent="0.2">
      <c r="A53" s="2" t="s">
        <v>54</v>
      </c>
      <c r="B53" s="40"/>
      <c r="C53" s="40"/>
      <c r="D53" s="40"/>
      <c r="E53" s="40"/>
      <c r="F53" s="40"/>
      <c r="G53" s="40"/>
      <c r="H53" s="40"/>
      <c r="I53" s="40"/>
      <c r="J53" s="40"/>
      <c r="K53" s="40"/>
    </row>
    <row r="54" spans="1:11" x14ac:dyDescent="0.2">
      <c r="A54" s="2"/>
      <c r="B54" s="40">
        <v>185</v>
      </c>
      <c r="C54" s="40">
        <v>590</v>
      </c>
      <c r="D54" s="40">
        <v>3.2</v>
      </c>
      <c r="E54" s="40">
        <v>5</v>
      </c>
      <c r="F54" s="40">
        <v>2</v>
      </c>
      <c r="G54" s="40">
        <v>0</v>
      </c>
      <c r="H54" s="40">
        <v>24</v>
      </c>
      <c r="I54" s="40">
        <v>35</v>
      </c>
      <c r="J54" s="40">
        <v>18.899999999999999</v>
      </c>
      <c r="K54" s="40">
        <v>1</v>
      </c>
    </row>
    <row r="55" spans="1:11" x14ac:dyDescent="0.2">
      <c r="A55" s="2" t="s">
        <v>55</v>
      </c>
      <c r="B55" s="40"/>
      <c r="C55" s="40"/>
      <c r="D55" s="40"/>
      <c r="E55" s="40"/>
      <c r="F55" s="40"/>
      <c r="G55" s="40"/>
      <c r="H55" s="40"/>
      <c r="I55" s="40"/>
      <c r="J55" s="40"/>
      <c r="K55" s="40"/>
    </row>
    <row r="56" spans="1:11" x14ac:dyDescent="0.2">
      <c r="A56" s="2"/>
      <c r="B56" s="40">
        <v>242</v>
      </c>
      <c r="C56" s="40">
        <v>1021</v>
      </c>
      <c r="D56" s="40">
        <v>4.2</v>
      </c>
      <c r="E56" s="40">
        <v>6</v>
      </c>
      <c r="F56" s="40">
        <v>4</v>
      </c>
      <c r="G56" s="40">
        <v>1</v>
      </c>
      <c r="H56" s="40" t="s">
        <v>74</v>
      </c>
      <c r="I56" s="40">
        <v>56</v>
      </c>
      <c r="J56" s="40">
        <v>23.1</v>
      </c>
      <c r="K56" s="40">
        <v>1</v>
      </c>
    </row>
    <row r="57" spans="1:11" x14ac:dyDescent="0.2">
      <c r="A57" s="2" t="s">
        <v>56</v>
      </c>
      <c r="B57" s="40"/>
      <c r="C57" s="40"/>
      <c r="D57" s="40"/>
      <c r="E57" s="40"/>
      <c r="F57" s="40"/>
      <c r="G57" s="40"/>
      <c r="H57" s="40"/>
      <c r="I57" s="40"/>
      <c r="J57" s="40"/>
      <c r="K57" s="40"/>
    </row>
    <row r="58" spans="1:11" x14ac:dyDescent="0.2">
      <c r="A58" s="2"/>
      <c r="B58" s="40">
        <v>201</v>
      </c>
      <c r="C58" s="40">
        <v>878</v>
      </c>
      <c r="D58" s="40">
        <v>4.4000000000000004</v>
      </c>
      <c r="E58" s="40">
        <v>4</v>
      </c>
      <c r="F58" s="40">
        <v>8</v>
      </c>
      <c r="G58" s="40">
        <v>1</v>
      </c>
      <c r="H58" s="40">
        <v>49</v>
      </c>
      <c r="I58" s="40">
        <v>50</v>
      </c>
      <c r="J58" s="40">
        <v>24.9</v>
      </c>
      <c r="K58" s="40">
        <v>3</v>
      </c>
    </row>
    <row r="59" spans="1:11" x14ac:dyDescent="0.2">
      <c r="A59" s="2" t="s">
        <v>58</v>
      </c>
      <c r="B59" s="40"/>
      <c r="C59" s="40"/>
      <c r="D59" s="40"/>
      <c r="E59" s="40"/>
      <c r="F59" s="40"/>
      <c r="G59" s="40"/>
      <c r="H59" s="40"/>
      <c r="I59" s="40"/>
      <c r="J59" s="40"/>
      <c r="K59" s="40"/>
    </row>
    <row r="60" spans="1:11" x14ac:dyDescent="0.2">
      <c r="A60" s="2"/>
      <c r="B60" s="40">
        <v>272</v>
      </c>
      <c r="C60" s="40">
        <v>1232</v>
      </c>
      <c r="D60" s="40">
        <v>4.5</v>
      </c>
      <c r="E60" s="40">
        <v>15</v>
      </c>
      <c r="F60" s="40">
        <v>4</v>
      </c>
      <c r="G60" s="40">
        <v>1</v>
      </c>
      <c r="H60" s="40">
        <v>83</v>
      </c>
      <c r="I60" s="40">
        <v>71</v>
      </c>
      <c r="J60" s="40">
        <v>26.1</v>
      </c>
      <c r="K60" s="40">
        <v>5</v>
      </c>
    </row>
    <row r="61" spans="1:11" x14ac:dyDescent="0.2">
      <c r="A61" s="2" t="s">
        <v>59</v>
      </c>
      <c r="B61" s="40"/>
      <c r="C61" s="40"/>
      <c r="D61" s="40"/>
      <c r="E61" s="40"/>
      <c r="F61" s="40"/>
      <c r="G61" s="40"/>
      <c r="H61" s="40"/>
      <c r="I61" s="40"/>
      <c r="J61" s="40"/>
      <c r="K61" s="40"/>
    </row>
    <row r="62" spans="1:11" x14ac:dyDescent="0.2">
      <c r="A62" s="2"/>
      <c r="B62" s="40">
        <v>202</v>
      </c>
      <c r="C62" s="40">
        <v>900</v>
      </c>
      <c r="D62" s="40">
        <v>4.5</v>
      </c>
      <c r="E62" s="40">
        <v>8</v>
      </c>
      <c r="F62" s="40">
        <v>3</v>
      </c>
      <c r="G62" s="40">
        <v>1</v>
      </c>
      <c r="H62" s="40">
        <v>58</v>
      </c>
      <c r="I62" s="40">
        <v>53</v>
      </c>
      <c r="J62" s="40">
        <v>26.2</v>
      </c>
      <c r="K62" s="40">
        <v>2</v>
      </c>
    </row>
    <row r="63" spans="1:11" x14ac:dyDescent="0.2">
      <c r="A63" s="2" t="s">
        <v>61</v>
      </c>
      <c r="B63" s="40"/>
      <c r="C63" s="40"/>
      <c r="D63" s="40"/>
      <c r="E63" s="40"/>
      <c r="F63" s="40"/>
      <c r="G63" s="40"/>
      <c r="H63" s="40"/>
      <c r="I63" s="40"/>
      <c r="J63" s="40"/>
      <c r="K63" s="40"/>
    </row>
    <row r="64" spans="1:11" x14ac:dyDescent="0.2">
      <c r="A64" s="2"/>
      <c r="B64" s="40">
        <v>229</v>
      </c>
      <c r="C64" s="40">
        <v>1093</v>
      </c>
      <c r="D64" s="40">
        <v>4.8</v>
      </c>
      <c r="E64" s="40">
        <v>7</v>
      </c>
      <c r="F64" s="40">
        <v>3</v>
      </c>
      <c r="G64" s="40">
        <v>0</v>
      </c>
      <c r="H64" s="40">
        <v>33</v>
      </c>
      <c r="I64" s="40">
        <v>64</v>
      </c>
      <c r="J64" s="40">
        <v>27.9</v>
      </c>
      <c r="K64" s="40">
        <v>0</v>
      </c>
    </row>
    <row r="65" spans="1:11" x14ac:dyDescent="0.2">
      <c r="A65" s="2" t="s">
        <v>62</v>
      </c>
      <c r="B65" s="40"/>
      <c r="C65" s="40"/>
      <c r="D65" s="40"/>
      <c r="E65" s="40"/>
      <c r="F65" s="40"/>
      <c r="G65" s="40"/>
      <c r="H65" s="40"/>
      <c r="I65" s="40"/>
      <c r="J65" s="40"/>
      <c r="K65" s="40"/>
    </row>
  </sheetData>
  <mergeCells count="320">
    <mergeCell ref="H2:H3"/>
    <mergeCell ref="I2:I3"/>
    <mergeCell ref="J2:J3"/>
    <mergeCell ref="K2:K3"/>
    <mergeCell ref="B4:B5"/>
    <mergeCell ref="C4:C5"/>
    <mergeCell ref="D4:D5"/>
    <mergeCell ref="E4:E5"/>
    <mergeCell ref="F4:F5"/>
    <mergeCell ref="G4:G5"/>
    <mergeCell ref="B2:B3"/>
    <mergeCell ref="C2:C3"/>
    <mergeCell ref="D2:D3"/>
    <mergeCell ref="E2:E3"/>
    <mergeCell ref="F2:F3"/>
    <mergeCell ref="G2:G3"/>
    <mergeCell ref="H4:H5"/>
    <mergeCell ref="I4:I5"/>
    <mergeCell ref="J4:J5"/>
    <mergeCell ref="K4:K5"/>
    <mergeCell ref="K6:K7"/>
    <mergeCell ref="B8:B9"/>
    <mergeCell ref="C8:C9"/>
    <mergeCell ref="D8:D9"/>
    <mergeCell ref="E8:E9"/>
    <mergeCell ref="F8:F9"/>
    <mergeCell ref="G8:G9"/>
    <mergeCell ref="H8:H9"/>
    <mergeCell ref="I8:I9"/>
    <mergeCell ref="J8:J9"/>
    <mergeCell ref="K8:K9"/>
    <mergeCell ref="B6:B7"/>
    <mergeCell ref="C6:C7"/>
    <mergeCell ref="D6:D7"/>
    <mergeCell ref="E6:E7"/>
    <mergeCell ref="F6:F7"/>
    <mergeCell ref="G6:G7"/>
    <mergeCell ref="H6:H7"/>
    <mergeCell ref="I6:I7"/>
    <mergeCell ref="J6:J7"/>
    <mergeCell ref="K10:K11"/>
    <mergeCell ref="B12:B13"/>
    <mergeCell ref="C12:C13"/>
    <mergeCell ref="D12:D13"/>
    <mergeCell ref="E12:E13"/>
    <mergeCell ref="F12:F13"/>
    <mergeCell ref="G12:G13"/>
    <mergeCell ref="H12:H13"/>
    <mergeCell ref="I12:I13"/>
    <mergeCell ref="J12:J13"/>
    <mergeCell ref="K12:K13"/>
    <mergeCell ref="B10:B11"/>
    <mergeCell ref="C10:C11"/>
    <mergeCell ref="D10:D11"/>
    <mergeCell ref="E10:E11"/>
    <mergeCell ref="F10:F11"/>
    <mergeCell ref="G10:G11"/>
    <mergeCell ref="H10:H11"/>
    <mergeCell ref="I10:I11"/>
    <mergeCell ref="J10:J11"/>
    <mergeCell ref="K14:K15"/>
    <mergeCell ref="B16:B17"/>
    <mergeCell ref="C16:C17"/>
    <mergeCell ref="D16:D17"/>
    <mergeCell ref="E16:E17"/>
    <mergeCell ref="F16:F17"/>
    <mergeCell ref="G16:G17"/>
    <mergeCell ref="H16:H17"/>
    <mergeCell ref="I16:I17"/>
    <mergeCell ref="J16:J17"/>
    <mergeCell ref="K16:K17"/>
    <mergeCell ref="B14:B15"/>
    <mergeCell ref="C14:C15"/>
    <mergeCell ref="D14:D15"/>
    <mergeCell ref="E14:E15"/>
    <mergeCell ref="F14:F15"/>
    <mergeCell ref="G14:G15"/>
    <mergeCell ref="H14:H15"/>
    <mergeCell ref="I14:I15"/>
    <mergeCell ref="J14:J15"/>
    <mergeCell ref="K18:K19"/>
    <mergeCell ref="B20:B21"/>
    <mergeCell ref="C20:C21"/>
    <mergeCell ref="D20:D21"/>
    <mergeCell ref="E20:E21"/>
    <mergeCell ref="F20:F21"/>
    <mergeCell ref="G20:G21"/>
    <mergeCell ref="H20:H21"/>
    <mergeCell ref="I20:I21"/>
    <mergeCell ref="J20:J21"/>
    <mergeCell ref="K20:K21"/>
    <mergeCell ref="B18:B19"/>
    <mergeCell ref="C18:C19"/>
    <mergeCell ref="D18:D19"/>
    <mergeCell ref="E18:E19"/>
    <mergeCell ref="F18:F19"/>
    <mergeCell ref="G18:G19"/>
    <mergeCell ref="H18:H19"/>
    <mergeCell ref="I18:I19"/>
    <mergeCell ref="J18:J19"/>
    <mergeCell ref="K22:K23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K24:K25"/>
    <mergeCell ref="B22:B23"/>
    <mergeCell ref="C22:C23"/>
    <mergeCell ref="D22:D23"/>
    <mergeCell ref="E22:E23"/>
    <mergeCell ref="F22:F23"/>
    <mergeCell ref="G22:G23"/>
    <mergeCell ref="H22:H23"/>
    <mergeCell ref="I22:I23"/>
    <mergeCell ref="J22:J23"/>
    <mergeCell ref="K26:K27"/>
    <mergeCell ref="B28:B29"/>
    <mergeCell ref="C28:C29"/>
    <mergeCell ref="D28:D29"/>
    <mergeCell ref="E28:E29"/>
    <mergeCell ref="F28:F29"/>
    <mergeCell ref="G28:G29"/>
    <mergeCell ref="H28:H29"/>
    <mergeCell ref="I28:I29"/>
    <mergeCell ref="J28:J29"/>
    <mergeCell ref="K28:K29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  <mergeCell ref="K30:K31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B30:B31"/>
    <mergeCell ref="C30:C31"/>
    <mergeCell ref="D30:D31"/>
    <mergeCell ref="E30:E31"/>
    <mergeCell ref="F30:F31"/>
    <mergeCell ref="G30:G31"/>
    <mergeCell ref="H30:H31"/>
    <mergeCell ref="I30:I31"/>
    <mergeCell ref="J30:J31"/>
    <mergeCell ref="K34:K35"/>
    <mergeCell ref="B36:B37"/>
    <mergeCell ref="C36:C37"/>
    <mergeCell ref="D36:D37"/>
    <mergeCell ref="E36:E37"/>
    <mergeCell ref="F36:F37"/>
    <mergeCell ref="G36:G37"/>
    <mergeCell ref="H36:H37"/>
    <mergeCell ref="I36:I37"/>
    <mergeCell ref="J36:J37"/>
    <mergeCell ref="K36:K37"/>
    <mergeCell ref="B34:B35"/>
    <mergeCell ref="C34:C35"/>
    <mergeCell ref="D34:D35"/>
    <mergeCell ref="E34:E35"/>
    <mergeCell ref="F34:F35"/>
    <mergeCell ref="G34:G35"/>
    <mergeCell ref="H34:H35"/>
    <mergeCell ref="I34:I35"/>
    <mergeCell ref="J34:J35"/>
    <mergeCell ref="K38:K39"/>
    <mergeCell ref="B40:B41"/>
    <mergeCell ref="C40:C41"/>
    <mergeCell ref="D40:D41"/>
    <mergeCell ref="E40:E41"/>
    <mergeCell ref="F40:F41"/>
    <mergeCell ref="G40:G41"/>
    <mergeCell ref="H40:H41"/>
    <mergeCell ref="I40:I41"/>
    <mergeCell ref="J40:J41"/>
    <mergeCell ref="K40:K41"/>
    <mergeCell ref="B38:B39"/>
    <mergeCell ref="C38:C39"/>
    <mergeCell ref="D38:D39"/>
    <mergeCell ref="E38:E39"/>
    <mergeCell ref="F38:F39"/>
    <mergeCell ref="G38:G39"/>
    <mergeCell ref="H38:H39"/>
    <mergeCell ref="I38:I39"/>
    <mergeCell ref="J38:J39"/>
    <mergeCell ref="K42:K43"/>
    <mergeCell ref="B44:B45"/>
    <mergeCell ref="C44:C45"/>
    <mergeCell ref="D44:D45"/>
    <mergeCell ref="E44:E45"/>
    <mergeCell ref="F44:F45"/>
    <mergeCell ref="G44:G45"/>
    <mergeCell ref="H44:H45"/>
    <mergeCell ref="I44:I45"/>
    <mergeCell ref="J44:J45"/>
    <mergeCell ref="K44:K45"/>
    <mergeCell ref="B42:B43"/>
    <mergeCell ref="C42:C43"/>
    <mergeCell ref="D42:D43"/>
    <mergeCell ref="E42:E43"/>
    <mergeCell ref="F42:F43"/>
    <mergeCell ref="G42:G43"/>
    <mergeCell ref="H42:H43"/>
    <mergeCell ref="I42:I43"/>
    <mergeCell ref="J42:J43"/>
    <mergeCell ref="K46:K47"/>
    <mergeCell ref="B48:B49"/>
    <mergeCell ref="C48:C49"/>
    <mergeCell ref="D48:D49"/>
    <mergeCell ref="E48:E49"/>
    <mergeCell ref="F48:F49"/>
    <mergeCell ref="G48:G49"/>
    <mergeCell ref="H48:H49"/>
    <mergeCell ref="I48:I49"/>
    <mergeCell ref="J48:J49"/>
    <mergeCell ref="K48:K49"/>
    <mergeCell ref="B46:B47"/>
    <mergeCell ref="C46:C47"/>
    <mergeCell ref="D46:D47"/>
    <mergeCell ref="E46:E47"/>
    <mergeCell ref="F46:F47"/>
    <mergeCell ref="G46:G47"/>
    <mergeCell ref="H46:H47"/>
    <mergeCell ref="I46:I47"/>
    <mergeCell ref="J46:J47"/>
    <mergeCell ref="K50:K51"/>
    <mergeCell ref="B52:B53"/>
    <mergeCell ref="C52:C53"/>
    <mergeCell ref="D52:D53"/>
    <mergeCell ref="E52:E53"/>
    <mergeCell ref="F52:F53"/>
    <mergeCell ref="G52:G53"/>
    <mergeCell ref="H52:H53"/>
    <mergeCell ref="I52:I53"/>
    <mergeCell ref="J52:J53"/>
    <mergeCell ref="K52:K53"/>
    <mergeCell ref="B50:B51"/>
    <mergeCell ref="C50:C51"/>
    <mergeCell ref="D50:D51"/>
    <mergeCell ref="E50:E51"/>
    <mergeCell ref="F50:F51"/>
    <mergeCell ref="G50:G51"/>
    <mergeCell ref="H50:H51"/>
    <mergeCell ref="I50:I51"/>
    <mergeCell ref="J50:J51"/>
    <mergeCell ref="K54:K55"/>
    <mergeCell ref="B56:B57"/>
    <mergeCell ref="C56:C57"/>
    <mergeCell ref="D56:D57"/>
    <mergeCell ref="E56:E57"/>
    <mergeCell ref="F56:F57"/>
    <mergeCell ref="G56:G57"/>
    <mergeCell ref="H56:H57"/>
    <mergeCell ref="I56:I57"/>
    <mergeCell ref="J56:J57"/>
    <mergeCell ref="K56:K57"/>
    <mergeCell ref="B54:B55"/>
    <mergeCell ref="C54:C55"/>
    <mergeCell ref="D54:D55"/>
    <mergeCell ref="E54:E55"/>
    <mergeCell ref="F54:F55"/>
    <mergeCell ref="G54:G55"/>
    <mergeCell ref="H54:H55"/>
    <mergeCell ref="I54:I55"/>
    <mergeCell ref="J54:J55"/>
    <mergeCell ref="K58:K59"/>
    <mergeCell ref="B60:B61"/>
    <mergeCell ref="C60:C61"/>
    <mergeCell ref="D60:D61"/>
    <mergeCell ref="E60:E61"/>
    <mergeCell ref="F60:F61"/>
    <mergeCell ref="G60:G61"/>
    <mergeCell ref="H60:H61"/>
    <mergeCell ref="I60:I61"/>
    <mergeCell ref="J60:J61"/>
    <mergeCell ref="K60:K61"/>
    <mergeCell ref="B58:B59"/>
    <mergeCell ref="C58:C59"/>
    <mergeCell ref="D58:D59"/>
    <mergeCell ref="E58:E59"/>
    <mergeCell ref="F58:F59"/>
    <mergeCell ref="G58:G59"/>
    <mergeCell ref="H58:H59"/>
    <mergeCell ref="I58:I59"/>
    <mergeCell ref="J58:J59"/>
    <mergeCell ref="K64:K65"/>
    <mergeCell ref="H62:H63"/>
    <mergeCell ref="I62:I63"/>
    <mergeCell ref="J62:J63"/>
    <mergeCell ref="K62:K63"/>
    <mergeCell ref="B64:B65"/>
    <mergeCell ref="C64:C65"/>
    <mergeCell ref="D64:D65"/>
    <mergeCell ref="E64:E65"/>
    <mergeCell ref="F64:F65"/>
    <mergeCell ref="G64:G65"/>
    <mergeCell ref="B62:B63"/>
    <mergeCell ref="C62:C63"/>
    <mergeCell ref="D62:D63"/>
    <mergeCell ref="E62:E63"/>
    <mergeCell ref="F62:F63"/>
    <mergeCell ref="G62:G63"/>
    <mergeCell ref="H64:H65"/>
    <mergeCell ref="I64:I65"/>
    <mergeCell ref="J64:J65"/>
  </mergeCells>
  <hyperlinks>
    <hyperlink ref="M1" r:id="rId1" xr:uid="{45A20EBB-29EB-D64B-8CD0-7F18C9FCC853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564A9-7A4E-C94D-A003-A43BB465E479}">
  <sheetPr codeName="Sheet9"/>
  <dimension ref="A1:W33"/>
  <sheetViews>
    <sheetView topLeftCell="Q1" workbookViewId="0">
      <selection activeCell="L10" sqref="L10"/>
    </sheetView>
  </sheetViews>
  <sheetFormatPr baseColWidth="10" defaultRowHeight="16" x14ac:dyDescent="0.2"/>
  <cols>
    <col min="1" max="1" width="13" bestFit="1" customWidth="1"/>
  </cols>
  <sheetData>
    <row r="1" spans="1:23" s="3" customFormat="1" ht="19" x14ac:dyDescent="0.2">
      <c r="A1" s="7" t="s">
        <v>0</v>
      </c>
      <c r="B1" s="6" t="s">
        <v>1</v>
      </c>
      <c r="C1" s="11" t="s">
        <v>175</v>
      </c>
      <c r="D1" s="11" t="s">
        <v>79</v>
      </c>
      <c r="E1" s="6" t="s">
        <v>64</v>
      </c>
      <c r="F1" s="11" t="s">
        <v>176</v>
      </c>
      <c r="G1" s="11" t="s">
        <v>79</v>
      </c>
      <c r="H1" s="11" t="s">
        <v>65</v>
      </c>
      <c r="I1" s="11" t="s">
        <v>79</v>
      </c>
      <c r="J1" s="6" t="s">
        <v>6</v>
      </c>
      <c r="K1" s="11" t="s">
        <v>174</v>
      </c>
      <c r="L1" s="11" t="s">
        <v>79</v>
      </c>
      <c r="M1" s="6" t="s">
        <v>11</v>
      </c>
      <c r="N1" s="6" t="s">
        <v>12</v>
      </c>
      <c r="O1" s="6" t="s">
        <v>13</v>
      </c>
      <c r="P1" s="6" t="s">
        <v>66</v>
      </c>
      <c r="Q1" s="6" t="s">
        <v>67</v>
      </c>
      <c r="R1" s="6" t="s">
        <v>68</v>
      </c>
      <c r="S1" s="9"/>
      <c r="T1" s="9"/>
      <c r="U1" s="9"/>
      <c r="V1" s="9"/>
      <c r="W1" s="9"/>
    </row>
    <row r="2" spans="1:23" x14ac:dyDescent="0.2">
      <c r="A2" s="8" t="s">
        <v>16</v>
      </c>
      <c r="B2" s="4">
        <f>'(rush def)'!B2</f>
        <v>241</v>
      </c>
      <c r="C2" s="14">
        <f>B2/'CURRENT WEEK'!B2</f>
        <v>30.125</v>
      </c>
      <c r="D2" s="4">
        <f>RANK(C2,$C$2:$C$33,1)</f>
        <v>27</v>
      </c>
      <c r="E2" s="4">
        <f>'(rush def)'!C2</f>
        <v>1053</v>
      </c>
      <c r="F2" s="14">
        <f>E2/'CURRENT WEEK'!B2</f>
        <v>131.625</v>
      </c>
      <c r="G2" s="4">
        <f>RANK(F2,$F$2:$F$33,1)</f>
        <v>26</v>
      </c>
      <c r="H2" s="13">
        <f>E2/B2</f>
        <v>4.3692946058091282</v>
      </c>
      <c r="I2" s="4">
        <f>RANK(H2,$H$2:$H$33,1)</f>
        <v>21</v>
      </c>
      <c r="J2" s="4">
        <f>'(rush def)'!E2</f>
        <v>12</v>
      </c>
      <c r="K2" s="14">
        <f>J2/'CURRENT WEEK'!B2</f>
        <v>1.5</v>
      </c>
      <c r="L2" s="4">
        <f>RANK(K2,$K$2:$K$33,1)</f>
        <v>30</v>
      </c>
      <c r="M2" s="4">
        <f>'(rush def)'!F2</f>
        <v>8</v>
      </c>
      <c r="N2" s="4">
        <f>'(rush def)'!G2</f>
        <v>0</v>
      </c>
      <c r="O2" s="4">
        <f>'(rush def)'!H2</f>
        <v>35</v>
      </c>
      <c r="P2" s="4">
        <f>'(rush def)'!I2</f>
        <v>62</v>
      </c>
      <c r="Q2" s="4">
        <f>'(rush def)'!J2</f>
        <v>25.7</v>
      </c>
      <c r="R2" s="4">
        <f>'(rush def)'!K2</f>
        <v>8</v>
      </c>
      <c r="S2" s="4"/>
      <c r="T2" s="4"/>
      <c r="U2" s="4"/>
      <c r="V2" s="4"/>
      <c r="W2" s="4"/>
    </row>
    <row r="3" spans="1:23" x14ac:dyDescent="0.2">
      <c r="A3" s="8" t="s">
        <v>18</v>
      </c>
      <c r="B3" s="4">
        <f>'(rush def)'!B4</f>
        <v>252</v>
      </c>
      <c r="C3" s="14">
        <f>B3/'CURRENT WEEK'!B3</f>
        <v>28</v>
      </c>
      <c r="D3" s="4">
        <f t="shared" ref="D3:D33" si="0">RANK(C3,$C$2:$C$33,1)</f>
        <v>22</v>
      </c>
      <c r="E3" s="4">
        <f>'(rush def)'!C4</f>
        <v>1105</v>
      </c>
      <c r="F3" s="14">
        <f>E3/'CURRENT WEEK'!B3</f>
        <v>122.77777777777777</v>
      </c>
      <c r="G3" s="4">
        <f t="shared" ref="G3:G33" si="1">RANK(F3,$F$2:$F$33,1)</f>
        <v>23</v>
      </c>
      <c r="H3" s="13">
        <f>E3/B3</f>
        <v>4.3849206349206353</v>
      </c>
      <c r="I3" s="4">
        <f t="shared" ref="I3:I33" si="2">RANK(H3,$H$2:$H$33,1)</f>
        <v>22</v>
      </c>
      <c r="J3" s="4">
        <f>'(rush def)'!E4</f>
        <v>9</v>
      </c>
      <c r="K3" s="14">
        <f>J3/'CURRENT WEEK'!B3</f>
        <v>1</v>
      </c>
      <c r="L3" s="4">
        <f t="shared" ref="L3:L33" si="3">RANK(K3,$K$2:$K$33,1)</f>
        <v>19</v>
      </c>
      <c r="M3" s="4">
        <f>'(rush def)'!F4</f>
        <v>6</v>
      </c>
      <c r="N3" s="4">
        <f>'(rush def)'!G4</f>
        <v>0</v>
      </c>
      <c r="O3" s="4">
        <f>'(rush def)'!H4</f>
        <v>39</v>
      </c>
      <c r="P3" s="4">
        <f>'(rush def)'!I4</f>
        <v>66</v>
      </c>
      <c r="Q3" s="4">
        <f>'(rush def)'!J4</f>
        <v>26.2</v>
      </c>
      <c r="R3" s="4">
        <f>'(rush def)'!K4</f>
        <v>3</v>
      </c>
      <c r="S3" s="4"/>
      <c r="T3" s="4"/>
      <c r="U3" s="4"/>
      <c r="V3" s="4"/>
      <c r="W3" s="4"/>
    </row>
    <row r="4" spans="1:23" x14ac:dyDescent="0.2">
      <c r="A4" s="8" t="s">
        <v>19</v>
      </c>
      <c r="B4" s="4">
        <f>'(rush def)'!B6</f>
        <v>215</v>
      </c>
      <c r="C4" s="14">
        <f>B4/'CURRENT WEEK'!B4</f>
        <v>23.888888888888889</v>
      </c>
      <c r="D4" s="4">
        <f t="shared" si="0"/>
        <v>9</v>
      </c>
      <c r="E4" s="4">
        <f>'(rush def)'!C6</f>
        <v>908</v>
      </c>
      <c r="F4" s="14">
        <f>E4/'CURRENT WEEK'!B4</f>
        <v>100.88888888888889</v>
      </c>
      <c r="G4" s="4">
        <f t="shared" si="1"/>
        <v>9</v>
      </c>
      <c r="H4" s="13">
        <f>E4/B4</f>
        <v>4.2232558139534886</v>
      </c>
      <c r="I4" s="4">
        <f t="shared" si="2"/>
        <v>13</v>
      </c>
      <c r="J4" s="4">
        <f>'(rush def)'!E6</f>
        <v>9</v>
      </c>
      <c r="K4" s="14">
        <f>J4/'CURRENT WEEK'!B4</f>
        <v>1</v>
      </c>
      <c r="L4" s="4">
        <f t="shared" si="3"/>
        <v>19</v>
      </c>
      <c r="M4" s="4">
        <f>'(rush def)'!F6</f>
        <v>5</v>
      </c>
      <c r="N4" s="4">
        <f>'(rush def)'!G6</f>
        <v>2</v>
      </c>
      <c r="O4" s="4" t="str">
        <f>'(rush def)'!H6</f>
        <v>70T</v>
      </c>
      <c r="P4" s="4">
        <f>'(rush def)'!I6</f>
        <v>52</v>
      </c>
      <c r="Q4" s="4">
        <f>'(rush def)'!J6</f>
        <v>24.2</v>
      </c>
      <c r="R4" s="4">
        <f>'(rush def)'!K6</f>
        <v>3</v>
      </c>
      <c r="S4" s="4"/>
      <c r="T4" s="4"/>
      <c r="U4" s="4"/>
      <c r="V4" s="4"/>
      <c r="W4" s="4"/>
    </row>
    <row r="5" spans="1:23" x14ac:dyDescent="0.2">
      <c r="A5" s="8" t="s">
        <v>21</v>
      </c>
      <c r="B5" s="4">
        <f>'(rush def)'!B8</f>
        <v>179</v>
      </c>
      <c r="C5" s="14">
        <f>B5/'CURRENT WEEK'!B5</f>
        <v>22.375</v>
      </c>
      <c r="D5" s="4">
        <f t="shared" si="0"/>
        <v>3</v>
      </c>
      <c r="E5" s="4">
        <f>'(rush def)'!C8</f>
        <v>685</v>
      </c>
      <c r="F5" s="14">
        <f>E5/'CURRENT WEEK'!B5</f>
        <v>85.625</v>
      </c>
      <c r="G5" s="4">
        <f t="shared" si="1"/>
        <v>4</v>
      </c>
      <c r="H5" s="13">
        <f>E5/B5</f>
        <v>3.8268156424581004</v>
      </c>
      <c r="I5" s="4">
        <f t="shared" si="2"/>
        <v>4</v>
      </c>
      <c r="J5" s="4">
        <f>'(rush def)'!E8</f>
        <v>6</v>
      </c>
      <c r="K5" s="14">
        <f>J5/'CURRENT WEEK'!B5</f>
        <v>0.75</v>
      </c>
      <c r="L5" s="4">
        <f t="shared" si="3"/>
        <v>8</v>
      </c>
      <c r="M5" s="4">
        <f>'(rush def)'!F8</f>
        <v>3</v>
      </c>
      <c r="N5" s="4">
        <f>'(rush def)'!G8</f>
        <v>1</v>
      </c>
      <c r="O5" s="4" t="str">
        <f>'(rush def)'!H8</f>
        <v>76T</v>
      </c>
      <c r="P5" s="4">
        <f>'(rush def)'!I8</f>
        <v>34</v>
      </c>
      <c r="Q5" s="4">
        <f>'(rush def)'!J8</f>
        <v>19</v>
      </c>
      <c r="R5" s="4">
        <f>'(rush def)'!K8</f>
        <v>2</v>
      </c>
      <c r="S5" s="4"/>
      <c r="T5" s="4"/>
      <c r="U5" s="4"/>
      <c r="V5" s="4"/>
      <c r="W5" s="4"/>
    </row>
    <row r="6" spans="1:23" x14ac:dyDescent="0.2">
      <c r="A6" s="8" t="s">
        <v>22</v>
      </c>
      <c r="B6" s="4">
        <f>'(rush def)'!B10</f>
        <v>210</v>
      </c>
      <c r="C6" s="14">
        <f>B6/'CURRENT WEEK'!B6</f>
        <v>23.333333333333332</v>
      </c>
      <c r="D6" s="4">
        <f t="shared" si="0"/>
        <v>8</v>
      </c>
      <c r="E6" s="4">
        <f>'(rush def)'!C10</f>
        <v>885</v>
      </c>
      <c r="F6" s="14">
        <f>E6/'CURRENT WEEK'!B6</f>
        <v>98.333333333333329</v>
      </c>
      <c r="G6" s="4">
        <f t="shared" si="1"/>
        <v>6</v>
      </c>
      <c r="H6" s="13">
        <f t="shared" ref="H6:H33" si="4">E6/B6</f>
        <v>4.2142857142857144</v>
      </c>
      <c r="I6" s="4">
        <f t="shared" si="2"/>
        <v>11</v>
      </c>
      <c r="J6" s="4">
        <f>'(rush def)'!E10</f>
        <v>6</v>
      </c>
      <c r="K6" s="14">
        <f>J6/'CURRENT WEEK'!B6</f>
        <v>0.66666666666666663</v>
      </c>
      <c r="L6" s="4">
        <f t="shared" si="3"/>
        <v>7</v>
      </c>
      <c r="M6" s="4">
        <f>'(rush def)'!F10</f>
        <v>3</v>
      </c>
      <c r="N6" s="4">
        <f>'(rush def)'!G10</f>
        <v>0</v>
      </c>
      <c r="O6" s="4">
        <f>'(rush def)'!H10</f>
        <v>20</v>
      </c>
      <c r="P6" s="4">
        <f>'(rush def)'!I10</f>
        <v>42</v>
      </c>
      <c r="Q6" s="4">
        <f>'(rush def)'!J10</f>
        <v>20</v>
      </c>
      <c r="R6" s="4">
        <f>'(rush def)'!K10</f>
        <v>2</v>
      </c>
      <c r="S6" s="4"/>
      <c r="T6" s="4"/>
      <c r="U6" s="4"/>
      <c r="V6" s="4"/>
      <c r="W6" s="4"/>
    </row>
    <row r="7" spans="1:23" x14ac:dyDescent="0.2">
      <c r="A7" s="8" t="s">
        <v>23</v>
      </c>
      <c r="B7" s="4">
        <f>'(rush def)'!B12</f>
        <v>216</v>
      </c>
      <c r="C7" s="14">
        <f>B7/'CURRENT WEEK'!B7</f>
        <v>24</v>
      </c>
      <c r="D7" s="4">
        <f t="shared" si="0"/>
        <v>10</v>
      </c>
      <c r="E7" s="4">
        <f>'(rush def)'!C12</f>
        <v>763</v>
      </c>
      <c r="F7" s="14">
        <f>E7/'CURRENT WEEK'!B7</f>
        <v>84.777777777777771</v>
      </c>
      <c r="G7" s="4">
        <f t="shared" si="1"/>
        <v>3</v>
      </c>
      <c r="H7" s="13">
        <f t="shared" si="4"/>
        <v>3.5324074074074074</v>
      </c>
      <c r="I7" s="4">
        <f t="shared" si="2"/>
        <v>2</v>
      </c>
      <c r="J7" s="4">
        <f>'(rush def)'!E12</f>
        <v>8</v>
      </c>
      <c r="K7" s="14">
        <f>J7/'CURRENT WEEK'!B7</f>
        <v>0.88888888888888884</v>
      </c>
      <c r="L7" s="4">
        <f t="shared" si="3"/>
        <v>16</v>
      </c>
      <c r="M7" s="4">
        <f>'(rush def)'!F12</f>
        <v>2</v>
      </c>
      <c r="N7" s="4">
        <f>'(rush def)'!G12</f>
        <v>1</v>
      </c>
      <c r="O7" s="4">
        <f>'(rush def)'!H12</f>
        <v>40</v>
      </c>
      <c r="P7" s="4">
        <f>'(rush def)'!I12</f>
        <v>48</v>
      </c>
      <c r="Q7" s="4">
        <f>'(rush def)'!J12</f>
        <v>22.2</v>
      </c>
      <c r="R7" s="4">
        <f>'(rush def)'!K12</f>
        <v>5</v>
      </c>
      <c r="S7" s="4"/>
      <c r="T7" s="4"/>
      <c r="U7" s="4"/>
      <c r="V7" s="4"/>
      <c r="W7" s="4"/>
    </row>
    <row r="8" spans="1:23" x14ac:dyDescent="0.2">
      <c r="A8" s="8" t="s">
        <v>25</v>
      </c>
      <c r="B8" s="4">
        <f>'(rush def)'!B14</f>
        <v>159</v>
      </c>
      <c r="C8" s="14">
        <f>B8/'CURRENT WEEK'!B8</f>
        <v>19.875</v>
      </c>
      <c r="D8" s="4">
        <f t="shared" si="0"/>
        <v>1</v>
      </c>
      <c r="E8" s="4">
        <f>'(rush def)'!C14</f>
        <v>624</v>
      </c>
      <c r="F8" s="14">
        <f>E8/'CURRENT WEEK'!B8</f>
        <v>78</v>
      </c>
      <c r="G8" s="4">
        <f t="shared" si="1"/>
        <v>2</v>
      </c>
      <c r="H8" s="13">
        <f t="shared" si="4"/>
        <v>3.9245283018867925</v>
      </c>
      <c r="I8" s="4">
        <f t="shared" si="2"/>
        <v>5</v>
      </c>
      <c r="J8" s="4">
        <f>'(rush def)'!E14</f>
        <v>4</v>
      </c>
      <c r="K8" s="14">
        <f>J8/'CURRENT WEEK'!B8</f>
        <v>0.5</v>
      </c>
      <c r="L8" s="4">
        <f t="shared" si="3"/>
        <v>3</v>
      </c>
      <c r="M8" s="4">
        <f>'(rush def)'!F14</f>
        <v>4</v>
      </c>
      <c r="N8" s="4">
        <f>'(rush def)'!G14</f>
        <v>0</v>
      </c>
      <c r="O8" s="4">
        <f>'(rush def)'!H14</f>
        <v>29</v>
      </c>
      <c r="P8" s="4">
        <f>'(rush def)'!I14</f>
        <v>36</v>
      </c>
      <c r="Q8" s="4">
        <f>'(rush def)'!J14</f>
        <v>22.6</v>
      </c>
      <c r="R8" s="4">
        <f>'(rush def)'!K14</f>
        <v>1</v>
      </c>
      <c r="S8" s="4"/>
      <c r="T8" s="4"/>
      <c r="U8" s="4"/>
      <c r="V8" s="4"/>
      <c r="W8" s="4"/>
    </row>
    <row r="9" spans="1:23" x14ac:dyDescent="0.2">
      <c r="A9" s="8" t="s">
        <v>27</v>
      </c>
      <c r="B9" s="4">
        <f>'(rush def)'!B16</f>
        <v>208</v>
      </c>
      <c r="C9" s="14">
        <f>B9/'CURRENT WEEK'!B9</f>
        <v>23.111111111111111</v>
      </c>
      <c r="D9" s="4">
        <f t="shared" si="0"/>
        <v>5</v>
      </c>
      <c r="E9" s="4">
        <f>'(rush def)'!C16</f>
        <v>1000</v>
      </c>
      <c r="F9" s="14">
        <f>E9/'CURRENT WEEK'!B9</f>
        <v>111.11111111111111</v>
      </c>
      <c r="G9" s="4">
        <f t="shared" si="1"/>
        <v>18</v>
      </c>
      <c r="H9" s="13">
        <f t="shared" si="4"/>
        <v>4.8076923076923075</v>
      </c>
      <c r="I9" s="4">
        <f t="shared" si="2"/>
        <v>31</v>
      </c>
      <c r="J9" s="4">
        <f>'(rush def)'!E16</f>
        <v>4</v>
      </c>
      <c r="K9" s="14">
        <f>J9/'CURRENT WEEK'!B9</f>
        <v>0.44444444444444442</v>
      </c>
      <c r="L9" s="4">
        <f t="shared" si="3"/>
        <v>2</v>
      </c>
      <c r="M9" s="4">
        <f>'(rush def)'!F16</f>
        <v>2</v>
      </c>
      <c r="N9" s="4">
        <f>'(rush def)'!G16</f>
        <v>0</v>
      </c>
      <c r="O9" s="4">
        <f>'(rush def)'!H16</f>
        <v>29</v>
      </c>
      <c r="P9" s="4">
        <f>'(rush def)'!I16</f>
        <v>57</v>
      </c>
      <c r="Q9" s="4">
        <f>'(rush def)'!J16</f>
        <v>27.4</v>
      </c>
      <c r="R9" s="4">
        <f>'(rush def)'!K16</f>
        <v>1</v>
      </c>
      <c r="S9" s="4"/>
      <c r="T9" s="4"/>
      <c r="U9" s="4"/>
      <c r="V9" s="4"/>
      <c r="W9" s="4"/>
    </row>
    <row r="10" spans="1:23" x14ac:dyDescent="0.2">
      <c r="A10" s="8" t="s">
        <v>29</v>
      </c>
      <c r="B10" s="4">
        <f>'(rush def)'!B18</f>
        <v>257</v>
      </c>
      <c r="C10" s="14">
        <f>B10/'CURRENT WEEK'!B10</f>
        <v>32.125</v>
      </c>
      <c r="D10" s="4">
        <f t="shared" si="0"/>
        <v>32</v>
      </c>
      <c r="E10" s="4">
        <f>'(rush def)'!C18</f>
        <v>1293</v>
      </c>
      <c r="F10" s="14">
        <f>E10/'CURRENT WEEK'!B10</f>
        <v>161.625</v>
      </c>
      <c r="G10" s="4">
        <f t="shared" si="1"/>
        <v>32</v>
      </c>
      <c r="H10" s="13">
        <f t="shared" si="4"/>
        <v>5.0311284046692606</v>
      </c>
      <c r="I10" s="4">
        <f t="shared" si="2"/>
        <v>32</v>
      </c>
      <c r="J10" s="4">
        <f>'(rush def)'!E18</f>
        <v>11</v>
      </c>
      <c r="K10" s="14">
        <f>J10/'CURRENT WEEK'!B10</f>
        <v>1.375</v>
      </c>
      <c r="L10" s="4">
        <f t="shared" si="3"/>
        <v>29</v>
      </c>
      <c r="M10" s="4">
        <f>'(rush def)'!F18</f>
        <v>8</v>
      </c>
      <c r="N10" s="4">
        <f>'(rush def)'!G18</f>
        <v>1</v>
      </c>
      <c r="O10" s="4" t="str">
        <f>'(rush def)'!H18</f>
        <v>52T</v>
      </c>
      <c r="P10" s="4">
        <f>'(rush def)'!I18</f>
        <v>77</v>
      </c>
      <c r="Q10" s="4">
        <f>'(rush def)'!J18</f>
        <v>30</v>
      </c>
      <c r="R10" s="4">
        <f>'(rush def)'!K18</f>
        <v>3</v>
      </c>
      <c r="S10" s="4"/>
      <c r="T10" s="4"/>
      <c r="U10" s="4"/>
      <c r="V10" s="4"/>
      <c r="W10" s="4"/>
    </row>
    <row r="11" spans="1:23" x14ac:dyDescent="0.2">
      <c r="A11" s="8" t="s">
        <v>31</v>
      </c>
      <c r="B11" s="4">
        <f>'(rush def)'!B20</f>
        <v>235</v>
      </c>
      <c r="C11" s="14">
        <f>B11/'CURRENT WEEK'!B11</f>
        <v>26.111111111111111</v>
      </c>
      <c r="D11" s="4">
        <f t="shared" si="0"/>
        <v>16</v>
      </c>
      <c r="E11" s="4">
        <f>'(rush def)'!C20</f>
        <v>1096</v>
      </c>
      <c r="F11" s="14">
        <f>E11/'CURRENT WEEK'!B11</f>
        <v>121.77777777777777</v>
      </c>
      <c r="G11" s="4">
        <f t="shared" si="1"/>
        <v>21</v>
      </c>
      <c r="H11" s="13">
        <f t="shared" si="4"/>
        <v>4.6638297872340422</v>
      </c>
      <c r="I11" s="4">
        <f t="shared" si="2"/>
        <v>29</v>
      </c>
      <c r="J11" s="4">
        <f>'(rush def)'!E20</f>
        <v>10</v>
      </c>
      <c r="K11" s="14">
        <f>J11/'CURRENT WEEK'!B11</f>
        <v>1.1111111111111112</v>
      </c>
      <c r="L11" s="4">
        <f t="shared" si="3"/>
        <v>23</v>
      </c>
      <c r="M11" s="4">
        <f>'(rush def)'!F20</f>
        <v>5</v>
      </c>
      <c r="N11" s="4">
        <f>'(rush def)'!G20</f>
        <v>0</v>
      </c>
      <c r="O11" s="4">
        <f>'(rush def)'!H20</f>
        <v>31</v>
      </c>
      <c r="P11" s="4">
        <f>'(rush def)'!I20</f>
        <v>70</v>
      </c>
      <c r="Q11" s="4">
        <f>'(rush def)'!J20</f>
        <v>29.8</v>
      </c>
      <c r="R11" s="4">
        <f>'(rush def)'!K20</f>
        <v>6</v>
      </c>
      <c r="S11" s="4"/>
      <c r="T11" s="4"/>
      <c r="U11" s="4"/>
      <c r="V11" s="4"/>
      <c r="W11" s="4"/>
    </row>
    <row r="12" spans="1:23" x14ac:dyDescent="0.2">
      <c r="A12" s="8" t="s">
        <v>33</v>
      </c>
      <c r="B12" s="4">
        <f>'(rush def)'!B22</f>
        <v>239</v>
      </c>
      <c r="C12" s="14">
        <f>B12/'CURRENT WEEK'!B12</f>
        <v>26.555555555555557</v>
      </c>
      <c r="D12" s="4">
        <f t="shared" si="0"/>
        <v>19</v>
      </c>
      <c r="E12" s="4">
        <f>'(rush def)'!C22</f>
        <v>958</v>
      </c>
      <c r="F12" s="14">
        <f>E12/'CURRENT WEEK'!B12</f>
        <v>106.44444444444444</v>
      </c>
      <c r="G12" s="4">
        <f t="shared" si="1"/>
        <v>13</v>
      </c>
      <c r="H12" s="13">
        <f t="shared" si="4"/>
        <v>4.00836820083682</v>
      </c>
      <c r="I12" s="4">
        <f t="shared" si="2"/>
        <v>8</v>
      </c>
      <c r="J12" s="4">
        <f>'(rush def)'!E22</f>
        <v>2</v>
      </c>
      <c r="K12" s="14">
        <f>J12/'CURRENT WEEK'!B12</f>
        <v>0.22222222222222221</v>
      </c>
      <c r="L12" s="4">
        <f t="shared" si="3"/>
        <v>1</v>
      </c>
      <c r="M12" s="4">
        <f>'(rush def)'!F22</f>
        <v>5</v>
      </c>
      <c r="N12" s="4">
        <f>'(rush def)'!G22</f>
        <v>0</v>
      </c>
      <c r="O12" s="4">
        <f>'(rush def)'!H22</f>
        <v>35</v>
      </c>
      <c r="P12" s="4">
        <f>'(rush def)'!I22</f>
        <v>52</v>
      </c>
      <c r="Q12" s="4">
        <f>'(rush def)'!J22</f>
        <v>21.8</v>
      </c>
      <c r="R12" s="4">
        <f>'(rush def)'!K22</f>
        <v>7</v>
      </c>
      <c r="S12" s="4"/>
      <c r="T12" s="4"/>
      <c r="U12" s="4"/>
      <c r="V12" s="4"/>
      <c r="W12" s="4"/>
    </row>
    <row r="13" spans="1:23" x14ac:dyDescent="0.2">
      <c r="A13" s="8" t="s">
        <v>35</v>
      </c>
      <c r="B13" s="4">
        <f>'(rush def)'!B24</f>
        <v>186</v>
      </c>
      <c r="C13" s="14">
        <f>B13/'CURRENT WEEK'!B13</f>
        <v>23.25</v>
      </c>
      <c r="D13" s="4">
        <f t="shared" si="0"/>
        <v>7</v>
      </c>
      <c r="E13" s="4">
        <f>'(rush def)'!C24</f>
        <v>808</v>
      </c>
      <c r="F13" s="14">
        <f>E13/'CURRENT WEEK'!B13</f>
        <v>101</v>
      </c>
      <c r="G13" s="4">
        <f t="shared" si="1"/>
        <v>10</v>
      </c>
      <c r="H13" s="13">
        <f t="shared" si="4"/>
        <v>4.344086021505376</v>
      </c>
      <c r="I13" s="4">
        <f t="shared" si="2"/>
        <v>18</v>
      </c>
      <c r="J13" s="4">
        <f>'(rush def)'!E24</f>
        <v>7</v>
      </c>
      <c r="K13" s="14">
        <f>J13/'CURRENT WEEK'!B13</f>
        <v>0.875</v>
      </c>
      <c r="L13" s="4">
        <f t="shared" si="3"/>
        <v>12</v>
      </c>
      <c r="M13" s="4">
        <f>'(rush def)'!F24</f>
        <v>6</v>
      </c>
      <c r="N13" s="4">
        <f>'(rush def)'!G24</f>
        <v>0</v>
      </c>
      <c r="O13" s="4">
        <f>'(rush def)'!H24</f>
        <v>30</v>
      </c>
      <c r="P13" s="4">
        <f>'(rush def)'!I24</f>
        <v>43</v>
      </c>
      <c r="Q13" s="4">
        <f>'(rush def)'!J24</f>
        <v>23.1</v>
      </c>
      <c r="R13" s="4">
        <f>'(rush def)'!K24</f>
        <v>2</v>
      </c>
      <c r="S13" s="4"/>
      <c r="T13" s="4"/>
      <c r="U13" s="4"/>
      <c r="V13" s="4"/>
      <c r="W13" s="4"/>
    </row>
    <row r="14" spans="1:23" x14ac:dyDescent="0.2">
      <c r="A14" s="8" t="s">
        <v>37</v>
      </c>
      <c r="B14" s="4">
        <f>'(rush def)'!B26</f>
        <v>235</v>
      </c>
      <c r="C14" s="14">
        <f>B14/'CURRENT WEEK'!B14</f>
        <v>26.111111111111111</v>
      </c>
      <c r="D14" s="4">
        <f t="shared" si="0"/>
        <v>16</v>
      </c>
      <c r="E14" s="4">
        <f>'(rush def)'!C26</f>
        <v>999</v>
      </c>
      <c r="F14" s="14">
        <f>E14/'CURRENT WEEK'!B14</f>
        <v>111</v>
      </c>
      <c r="G14" s="4">
        <f t="shared" si="1"/>
        <v>17</v>
      </c>
      <c r="H14" s="13">
        <f t="shared" si="4"/>
        <v>4.2510638297872338</v>
      </c>
      <c r="I14" s="4">
        <f t="shared" si="2"/>
        <v>14</v>
      </c>
      <c r="J14" s="4">
        <f>'(rush def)'!E26</f>
        <v>9</v>
      </c>
      <c r="K14" s="14">
        <f>J14/'CURRENT WEEK'!B14</f>
        <v>1</v>
      </c>
      <c r="L14" s="4">
        <f t="shared" si="3"/>
        <v>19</v>
      </c>
      <c r="M14" s="4">
        <f>'(rush def)'!F26</f>
        <v>7</v>
      </c>
      <c r="N14" s="4">
        <f>'(rush def)'!G26</f>
        <v>1</v>
      </c>
      <c r="O14" s="4" t="str">
        <f>'(rush def)'!H26</f>
        <v>46T</v>
      </c>
      <c r="P14" s="4">
        <f>'(rush def)'!I26</f>
        <v>56</v>
      </c>
      <c r="Q14" s="4">
        <f>'(rush def)'!J26</f>
        <v>23.8</v>
      </c>
      <c r="R14" s="4">
        <f>'(rush def)'!K26</f>
        <v>4</v>
      </c>
      <c r="S14" s="4"/>
      <c r="T14" s="4"/>
      <c r="U14" s="4"/>
      <c r="V14" s="4"/>
      <c r="W14" s="4"/>
    </row>
    <row r="15" spans="1:23" x14ac:dyDescent="0.2">
      <c r="A15" s="8" t="s">
        <v>38</v>
      </c>
      <c r="B15" s="4">
        <f>'(rush def)'!B28</f>
        <v>272</v>
      </c>
      <c r="C15" s="14">
        <f>B15/'CURRENT WEEK'!B15</f>
        <v>30.222222222222221</v>
      </c>
      <c r="D15" s="4">
        <f t="shared" si="0"/>
        <v>28</v>
      </c>
      <c r="E15" s="4">
        <f>'(rush def)'!C28</f>
        <v>1077</v>
      </c>
      <c r="F15" s="14">
        <f>E15/'CURRENT WEEK'!B15</f>
        <v>119.66666666666667</v>
      </c>
      <c r="G15" s="4">
        <f t="shared" si="1"/>
        <v>20</v>
      </c>
      <c r="H15" s="13">
        <f t="shared" si="4"/>
        <v>3.9595588235294117</v>
      </c>
      <c r="I15" s="4">
        <f t="shared" si="2"/>
        <v>6</v>
      </c>
      <c r="J15" s="4">
        <f>'(rush def)'!E28</f>
        <v>10</v>
      </c>
      <c r="K15" s="14">
        <f>J15/'CURRENT WEEK'!B15</f>
        <v>1.1111111111111112</v>
      </c>
      <c r="L15" s="4">
        <f t="shared" si="3"/>
        <v>23</v>
      </c>
      <c r="M15" s="4">
        <f>'(rush def)'!F28</f>
        <v>4</v>
      </c>
      <c r="N15" s="4">
        <f>'(rush def)'!G28</f>
        <v>0</v>
      </c>
      <c r="O15" s="4">
        <f>'(rush def)'!H28</f>
        <v>26</v>
      </c>
      <c r="P15" s="4">
        <f>'(rush def)'!I28</f>
        <v>71</v>
      </c>
      <c r="Q15" s="4">
        <f>'(rush def)'!J28</f>
        <v>26.1</v>
      </c>
      <c r="R15" s="4">
        <f>'(rush def)'!K28</f>
        <v>3</v>
      </c>
      <c r="S15" s="4"/>
      <c r="T15" s="4"/>
      <c r="U15" s="4"/>
      <c r="V15" s="4"/>
      <c r="W15" s="4"/>
    </row>
    <row r="16" spans="1:23" x14ac:dyDescent="0.2">
      <c r="A16" s="8" t="s">
        <v>39</v>
      </c>
      <c r="B16" s="4">
        <f>'(rush def)'!B30</f>
        <v>226</v>
      </c>
      <c r="C16" s="14">
        <f>B16/'CURRENT WEEK'!B16</f>
        <v>28.25</v>
      </c>
      <c r="D16" s="4">
        <f t="shared" si="0"/>
        <v>23</v>
      </c>
      <c r="E16" s="4">
        <f>'(rush def)'!C30</f>
        <v>985</v>
      </c>
      <c r="F16" s="14">
        <f>E16/'CURRENT WEEK'!B16</f>
        <v>123.125</v>
      </c>
      <c r="G16" s="4">
        <f t="shared" si="1"/>
        <v>24</v>
      </c>
      <c r="H16" s="13">
        <f t="shared" si="4"/>
        <v>4.3584070796460175</v>
      </c>
      <c r="I16" s="4">
        <f t="shared" si="2"/>
        <v>19</v>
      </c>
      <c r="J16" s="4">
        <f>'(rush def)'!E30</f>
        <v>7</v>
      </c>
      <c r="K16" s="14">
        <f>J16/'CURRENT WEEK'!B16</f>
        <v>0.875</v>
      </c>
      <c r="L16" s="4">
        <f t="shared" si="3"/>
        <v>12</v>
      </c>
      <c r="M16" s="4">
        <f>'(rush def)'!F30</f>
        <v>3</v>
      </c>
      <c r="N16" s="4">
        <f>'(rush def)'!G30</f>
        <v>0</v>
      </c>
      <c r="O16" s="4">
        <f>'(rush def)'!H30</f>
        <v>23</v>
      </c>
      <c r="P16" s="4">
        <f>'(rush def)'!I30</f>
        <v>64</v>
      </c>
      <c r="Q16" s="4">
        <f>'(rush def)'!J30</f>
        <v>28.3</v>
      </c>
      <c r="R16" s="4">
        <f>'(rush def)'!K30</f>
        <v>2</v>
      </c>
      <c r="S16" s="4"/>
      <c r="T16" s="4"/>
      <c r="U16" s="4"/>
      <c r="V16" s="4"/>
      <c r="W16" s="4"/>
    </row>
    <row r="17" spans="1:23" x14ac:dyDescent="0.2">
      <c r="A17" s="8" t="s">
        <v>40</v>
      </c>
      <c r="B17" s="4">
        <f>'(rush def)'!B32</f>
        <v>205</v>
      </c>
      <c r="C17" s="14">
        <f>B17/'CURRENT WEEK'!B17</f>
        <v>25.625</v>
      </c>
      <c r="D17" s="4">
        <f t="shared" si="0"/>
        <v>14</v>
      </c>
      <c r="E17" s="4">
        <f>'(rush def)'!C32</f>
        <v>821</v>
      </c>
      <c r="F17" s="14">
        <f>E17/'CURRENT WEEK'!B17</f>
        <v>102.625</v>
      </c>
      <c r="G17" s="4">
        <f t="shared" si="1"/>
        <v>11</v>
      </c>
      <c r="H17" s="13">
        <f t="shared" si="4"/>
        <v>4.0048780487804878</v>
      </c>
      <c r="I17" s="4">
        <f t="shared" si="2"/>
        <v>7</v>
      </c>
      <c r="J17" s="4">
        <f>'(rush def)'!E32</f>
        <v>7</v>
      </c>
      <c r="K17" s="14">
        <f>J17/'CURRENT WEEK'!B17</f>
        <v>0.875</v>
      </c>
      <c r="L17" s="4">
        <f t="shared" si="3"/>
        <v>12</v>
      </c>
      <c r="M17" s="4">
        <f>'(rush def)'!F32</f>
        <v>4</v>
      </c>
      <c r="N17" s="4">
        <f>'(rush def)'!G32</f>
        <v>2</v>
      </c>
      <c r="O17" s="4">
        <f>'(rush def)'!H32</f>
        <v>46</v>
      </c>
      <c r="P17" s="4">
        <f>'(rush def)'!I32</f>
        <v>47</v>
      </c>
      <c r="Q17" s="4">
        <f>'(rush def)'!J32</f>
        <v>22.9</v>
      </c>
      <c r="R17" s="4">
        <f>'(rush def)'!K32</f>
        <v>3</v>
      </c>
      <c r="S17" s="4"/>
      <c r="T17" s="4"/>
      <c r="U17" s="4"/>
      <c r="V17" s="4"/>
      <c r="W17" s="4"/>
    </row>
    <row r="18" spans="1:23" x14ac:dyDescent="0.2">
      <c r="A18" s="8" t="s">
        <v>42</v>
      </c>
      <c r="B18" s="4">
        <f>'(rush def)'!B34</f>
        <v>246</v>
      </c>
      <c r="C18" s="14">
        <f>B18/'CURRENT WEEK'!B18</f>
        <v>27.333333333333332</v>
      </c>
      <c r="D18" s="4">
        <f t="shared" si="0"/>
        <v>21</v>
      </c>
      <c r="E18" s="4">
        <f>'(rush def)'!C34</f>
        <v>1103</v>
      </c>
      <c r="F18" s="14">
        <f>E18/'CURRENT WEEK'!B18</f>
        <v>122.55555555555556</v>
      </c>
      <c r="G18" s="4">
        <f t="shared" si="1"/>
        <v>22</v>
      </c>
      <c r="H18" s="13">
        <f t="shared" si="4"/>
        <v>4.4837398373983737</v>
      </c>
      <c r="I18" s="4">
        <f t="shared" si="2"/>
        <v>24</v>
      </c>
      <c r="J18" s="4">
        <f>'(rush def)'!E34</f>
        <v>7</v>
      </c>
      <c r="K18" s="14">
        <f>J18/'CURRENT WEEK'!B18</f>
        <v>0.77777777777777779</v>
      </c>
      <c r="L18" s="4">
        <f t="shared" si="3"/>
        <v>10</v>
      </c>
      <c r="M18" s="4">
        <f>'(rush def)'!F34</f>
        <v>2</v>
      </c>
      <c r="N18" s="4">
        <f>'(rush def)'!G34</f>
        <v>1</v>
      </c>
      <c r="O18" s="4" t="str">
        <f>'(rush def)'!H34</f>
        <v>70T</v>
      </c>
      <c r="P18" s="4">
        <f>'(rush def)'!I34</f>
        <v>61</v>
      </c>
      <c r="Q18" s="4">
        <f>'(rush def)'!J34</f>
        <v>24.8</v>
      </c>
      <c r="R18" s="4">
        <f>'(rush def)'!K34</f>
        <v>1</v>
      </c>
      <c r="S18" s="4"/>
      <c r="T18" s="4"/>
      <c r="U18" s="4"/>
      <c r="V18" s="4"/>
      <c r="W18" s="4"/>
    </row>
    <row r="19" spans="1:23" x14ac:dyDescent="0.2">
      <c r="A19" s="8" t="s">
        <v>44</v>
      </c>
      <c r="B19" s="4">
        <f>'(rush def)'!B36</f>
        <v>218</v>
      </c>
      <c r="C19" s="14">
        <f>B19/'CURRENT WEEK'!B19</f>
        <v>27.25</v>
      </c>
      <c r="D19" s="4">
        <f t="shared" si="0"/>
        <v>20</v>
      </c>
      <c r="E19" s="4">
        <f>'(rush def)'!C36</f>
        <v>827</v>
      </c>
      <c r="F19" s="14">
        <f>E19/'CURRENT WEEK'!B19</f>
        <v>103.375</v>
      </c>
      <c r="G19" s="4">
        <f t="shared" si="1"/>
        <v>12</v>
      </c>
      <c r="H19" s="13">
        <f t="shared" si="4"/>
        <v>3.7935779816513762</v>
      </c>
      <c r="I19" s="4">
        <f t="shared" si="2"/>
        <v>3</v>
      </c>
      <c r="J19" s="4">
        <f>'(rush def)'!E36</f>
        <v>10</v>
      </c>
      <c r="K19" s="14">
        <f>J19/'CURRENT WEEK'!B19</f>
        <v>1.25</v>
      </c>
      <c r="L19" s="4">
        <f t="shared" si="3"/>
        <v>27</v>
      </c>
      <c r="M19" s="4">
        <f>'(rush def)'!F36</f>
        <v>2</v>
      </c>
      <c r="N19" s="4">
        <f>'(rush def)'!G36</f>
        <v>0</v>
      </c>
      <c r="O19" s="4">
        <f>'(rush def)'!H36</f>
        <v>29</v>
      </c>
      <c r="P19" s="4">
        <f>'(rush def)'!I36</f>
        <v>50</v>
      </c>
      <c r="Q19" s="4">
        <f>'(rush def)'!J36</f>
        <v>22.9</v>
      </c>
      <c r="R19" s="4">
        <f>'(rush def)'!K36</f>
        <v>3</v>
      </c>
      <c r="S19" s="4"/>
      <c r="T19" s="4"/>
      <c r="U19" s="4"/>
      <c r="V19" s="4"/>
      <c r="W19" s="4"/>
    </row>
    <row r="20" spans="1:23" x14ac:dyDescent="0.2">
      <c r="A20" s="8" t="s">
        <v>45</v>
      </c>
      <c r="B20" s="4">
        <f>'(rush def)'!B38</f>
        <v>232</v>
      </c>
      <c r="C20" s="14">
        <f>B20/'CURRENT WEEK'!B20</f>
        <v>29</v>
      </c>
      <c r="D20" s="4">
        <f t="shared" si="0"/>
        <v>25</v>
      </c>
      <c r="E20" s="4">
        <f>'(rush def)'!C38</f>
        <v>1066</v>
      </c>
      <c r="F20" s="14">
        <f>E20/'CURRENT WEEK'!B20</f>
        <v>133.25</v>
      </c>
      <c r="G20" s="4">
        <f t="shared" si="1"/>
        <v>27</v>
      </c>
      <c r="H20" s="13">
        <f t="shared" si="4"/>
        <v>4.5948275862068968</v>
      </c>
      <c r="I20" s="4">
        <f t="shared" si="2"/>
        <v>27</v>
      </c>
      <c r="J20" s="4">
        <f>'(rush def)'!E38</f>
        <v>15</v>
      </c>
      <c r="K20" s="14">
        <f>J20/'CURRENT WEEK'!B20</f>
        <v>1.875</v>
      </c>
      <c r="L20" s="4">
        <f t="shared" si="3"/>
        <v>32</v>
      </c>
      <c r="M20" s="4">
        <f>'(rush def)'!F38</f>
        <v>7</v>
      </c>
      <c r="N20" s="4">
        <f>'(rush def)'!G38</f>
        <v>1</v>
      </c>
      <c r="O20" s="4" t="str">
        <f>'(rush def)'!H38</f>
        <v>78T</v>
      </c>
      <c r="P20" s="4">
        <f>'(rush def)'!I38</f>
        <v>58</v>
      </c>
      <c r="Q20" s="4">
        <f>'(rush def)'!J38</f>
        <v>25</v>
      </c>
      <c r="R20" s="4">
        <f>'(rush def)'!K38</f>
        <v>3</v>
      </c>
      <c r="S20" s="4"/>
      <c r="T20" s="4"/>
      <c r="U20" s="4"/>
      <c r="V20" s="4"/>
      <c r="W20" s="4"/>
    </row>
    <row r="21" spans="1:23" x14ac:dyDescent="0.2">
      <c r="A21" s="8" t="s">
        <v>46</v>
      </c>
      <c r="B21" s="4">
        <f>'(rush def)'!B40</f>
        <v>249</v>
      </c>
      <c r="C21" s="14">
        <f>B21/'CURRENT WEEK'!B21</f>
        <v>31.125</v>
      </c>
      <c r="D21" s="4">
        <f t="shared" si="0"/>
        <v>31</v>
      </c>
      <c r="E21" s="4">
        <f>'(rush def)'!C40</f>
        <v>1076</v>
      </c>
      <c r="F21" s="14">
        <f>E21/'CURRENT WEEK'!B21</f>
        <v>134.5</v>
      </c>
      <c r="G21" s="4">
        <f t="shared" si="1"/>
        <v>29</v>
      </c>
      <c r="H21" s="13">
        <f t="shared" si="4"/>
        <v>4.3212851405622494</v>
      </c>
      <c r="I21" s="4">
        <f t="shared" si="2"/>
        <v>16</v>
      </c>
      <c r="J21" s="4">
        <f>'(rush def)'!E40</f>
        <v>10</v>
      </c>
      <c r="K21" s="14">
        <f>J21/'CURRENT WEEK'!B21</f>
        <v>1.25</v>
      </c>
      <c r="L21" s="4">
        <f t="shared" si="3"/>
        <v>27</v>
      </c>
      <c r="M21" s="4">
        <f>'(rush def)'!F40</f>
        <v>7</v>
      </c>
      <c r="N21" s="4">
        <f>'(rush def)'!G40</f>
        <v>1</v>
      </c>
      <c r="O21" s="4">
        <f>'(rush def)'!H40</f>
        <v>48</v>
      </c>
      <c r="P21" s="4">
        <f>'(rush def)'!I40</f>
        <v>63</v>
      </c>
      <c r="Q21" s="4">
        <f>'(rush def)'!J40</f>
        <v>25.3</v>
      </c>
      <c r="R21" s="4">
        <f>'(rush def)'!K40</f>
        <v>2</v>
      </c>
      <c r="S21" s="4"/>
      <c r="T21" s="4"/>
      <c r="U21" s="4"/>
      <c r="V21" s="4"/>
      <c r="W21" s="4"/>
    </row>
    <row r="22" spans="1:23" x14ac:dyDescent="0.2">
      <c r="A22" s="8" t="s">
        <v>47</v>
      </c>
      <c r="B22" s="4">
        <f>'(rush def)'!B42</f>
        <v>219</v>
      </c>
      <c r="C22" s="14">
        <f>B22/'CURRENT WEEK'!B22</f>
        <v>24.333333333333332</v>
      </c>
      <c r="D22" s="4">
        <f t="shared" si="0"/>
        <v>12</v>
      </c>
      <c r="E22" s="4">
        <f>'(rush def)'!C42</f>
        <v>997</v>
      </c>
      <c r="F22" s="14">
        <f>E22/'CURRENT WEEK'!B22</f>
        <v>110.77777777777777</v>
      </c>
      <c r="G22" s="4">
        <f t="shared" si="1"/>
        <v>16</v>
      </c>
      <c r="H22" s="13">
        <f t="shared" si="4"/>
        <v>4.5525114155251138</v>
      </c>
      <c r="I22" s="4">
        <f t="shared" si="2"/>
        <v>26</v>
      </c>
      <c r="J22" s="4">
        <f>'(rush def)'!E42</f>
        <v>8</v>
      </c>
      <c r="K22" s="14">
        <f>J22/'CURRENT WEEK'!B22</f>
        <v>0.88888888888888884</v>
      </c>
      <c r="L22" s="4">
        <f t="shared" si="3"/>
        <v>16</v>
      </c>
      <c r="M22" s="4">
        <f>'(rush def)'!F42</f>
        <v>4</v>
      </c>
      <c r="N22" s="4">
        <f>'(rush def)'!G42</f>
        <v>0</v>
      </c>
      <c r="O22" s="4">
        <f>'(rush def)'!H42</f>
        <v>38</v>
      </c>
      <c r="P22" s="4">
        <f>'(rush def)'!I42</f>
        <v>65</v>
      </c>
      <c r="Q22" s="4">
        <f>'(rush def)'!J42</f>
        <v>29.7</v>
      </c>
      <c r="R22" s="4">
        <f>'(rush def)'!K42</f>
        <v>5</v>
      </c>
      <c r="S22" s="4"/>
      <c r="T22" s="4"/>
      <c r="U22" s="4"/>
      <c r="V22" s="4"/>
      <c r="W22" s="4"/>
    </row>
    <row r="23" spans="1:23" x14ac:dyDescent="0.2">
      <c r="A23" s="8" t="s">
        <v>48</v>
      </c>
      <c r="B23" s="4">
        <f>'(rush def)'!B44</f>
        <v>233</v>
      </c>
      <c r="C23" s="14">
        <f>B23/'CURRENT WEEK'!B23</f>
        <v>25.888888888888889</v>
      </c>
      <c r="D23" s="4">
        <f t="shared" si="0"/>
        <v>15</v>
      </c>
      <c r="E23" s="4">
        <f>'(rush def)'!C44</f>
        <v>1005</v>
      </c>
      <c r="F23" s="14">
        <f>E23/'CURRENT WEEK'!B23</f>
        <v>111.66666666666667</v>
      </c>
      <c r="G23" s="4">
        <f t="shared" si="1"/>
        <v>19</v>
      </c>
      <c r="H23" s="13">
        <f t="shared" si="4"/>
        <v>4.3133047210300433</v>
      </c>
      <c r="I23" s="4">
        <f t="shared" si="2"/>
        <v>15</v>
      </c>
      <c r="J23" s="4">
        <f>'(rush def)'!E44</f>
        <v>7</v>
      </c>
      <c r="K23" s="14">
        <f>J23/'CURRENT WEEK'!B23</f>
        <v>0.77777777777777779</v>
      </c>
      <c r="L23" s="4">
        <f t="shared" si="3"/>
        <v>10</v>
      </c>
      <c r="M23" s="4">
        <f>'(rush def)'!F44</f>
        <v>4</v>
      </c>
      <c r="N23" s="4">
        <f>'(rush def)'!G44</f>
        <v>1</v>
      </c>
      <c r="O23" s="4">
        <f>'(rush def)'!H44</f>
        <v>47</v>
      </c>
      <c r="P23" s="4">
        <f>'(rush def)'!I44</f>
        <v>55</v>
      </c>
      <c r="Q23" s="4">
        <f>'(rush def)'!J44</f>
        <v>23.6</v>
      </c>
      <c r="R23" s="4">
        <f>'(rush def)'!K44</f>
        <v>5</v>
      </c>
      <c r="S23" s="4"/>
      <c r="T23" s="4"/>
      <c r="U23" s="4"/>
      <c r="V23" s="4"/>
      <c r="W23" s="4"/>
    </row>
    <row r="24" spans="1:23" x14ac:dyDescent="0.2">
      <c r="A24" s="8" t="s">
        <v>50</v>
      </c>
      <c r="B24" s="4">
        <f>'(rush def)'!B46</f>
        <v>237</v>
      </c>
      <c r="C24" s="14">
        <f>B24/'CURRENT WEEK'!B24</f>
        <v>26.333333333333332</v>
      </c>
      <c r="D24" s="4">
        <f t="shared" si="0"/>
        <v>18</v>
      </c>
      <c r="E24" s="4">
        <f>'(rush def)'!C46</f>
        <v>980</v>
      </c>
      <c r="F24" s="14">
        <f>E24/'CURRENT WEEK'!B24</f>
        <v>108.88888888888889</v>
      </c>
      <c r="G24" s="4">
        <f t="shared" si="1"/>
        <v>14</v>
      </c>
      <c r="H24" s="13">
        <f t="shared" si="4"/>
        <v>4.1350210970464136</v>
      </c>
      <c r="I24" s="4">
        <f t="shared" si="2"/>
        <v>9</v>
      </c>
      <c r="J24" s="4">
        <f>'(rush def)'!E46</f>
        <v>5</v>
      </c>
      <c r="K24" s="14">
        <f>J24/'CURRENT WEEK'!B24</f>
        <v>0.55555555555555558</v>
      </c>
      <c r="L24" s="4">
        <f t="shared" si="3"/>
        <v>5</v>
      </c>
      <c r="M24" s="4">
        <f>'(rush def)'!F46</f>
        <v>4</v>
      </c>
      <c r="N24" s="4">
        <f>'(rush def)'!G46</f>
        <v>1</v>
      </c>
      <c r="O24" s="4">
        <f>'(rush def)'!H46</f>
        <v>75</v>
      </c>
      <c r="P24" s="4">
        <f>'(rush def)'!I46</f>
        <v>54</v>
      </c>
      <c r="Q24" s="4">
        <f>'(rush def)'!J46</f>
        <v>22.8</v>
      </c>
      <c r="R24" s="4">
        <f>'(rush def)'!K46</f>
        <v>2</v>
      </c>
      <c r="S24" s="4"/>
      <c r="T24" s="4"/>
      <c r="U24" s="4"/>
      <c r="V24" s="4"/>
      <c r="W24" s="4"/>
    </row>
    <row r="25" spans="1:23" x14ac:dyDescent="0.2">
      <c r="A25" s="8" t="s">
        <v>51</v>
      </c>
      <c r="B25" s="4">
        <f>'(rush def)'!B48</f>
        <v>232</v>
      </c>
      <c r="C25" s="14">
        <f>B25/'CURRENT WEEK'!B25</f>
        <v>29</v>
      </c>
      <c r="D25" s="4">
        <f t="shared" si="0"/>
        <v>25</v>
      </c>
      <c r="E25" s="4">
        <f>'(rush def)'!C48</f>
        <v>1068</v>
      </c>
      <c r="F25" s="14">
        <f>E25/'CURRENT WEEK'!B25</f>
        <v>133.5</v>
      </c>
      <c r="G25" s="4">
        <f t="shared" si="1"/>
        <v>28</v>
      </c>
      <c r="H25" s="13">
        <f t="shared" si="4"/>
        <v>4.6034482758620694</v>
      </c>
      <c r="I25" s="4">
        <f t="shared" si="2"/>
        <v>28</v>
      </c>
      <c r="J25" s="4">
        <f>'(rush def)'!E48</f>
        <v>8</v>
      </c>
      <c r="K25" s="14">
        <f>J25/'CURRENT WEEK'!B25</f>
        <v>1</v>
      </c>
      <c r="L25" s="4">
        <f t="shared" si="3"/>
        <v>19</v>
      </c>
      <c r="M25" s="4">
        <f>'(rush def)'!F48</f>
        <v>7</v>
      </c>
      <c r="N25" s="4">
        <f>'(rush def)'!G48</f>
        <v>0</v>
      </c>
      <c r="O25" s="4" t="str">
        <f>'(rush def)'!H48</f>
        <v>35T</v>
      </c>
      <c r="P25" s="4">
        <f>'(rush def)'!I48</f>
        <v>56</v>
      </c>
      <c r="Q25" s="4">
        <f>'(rush def)'!J48</f>
        <v>24.1</v>
      </c>
      <c r="R25" s="4">
        <f>'(rush def)'!K48</f>
        <v>6</v>
      </c>
      <c r="S25" s="4"/>
      <c r="T25" s="4"/>
      <c r="U25" s="4"/>
      <c r="V25" s="4"/>
      <c r="W25" s="4"/>
    </row>
    <row r="26" spans="1:23" x14ac:dyDescent="0.2">
      <c r="A26" s="8" t="s">
        <v>53</v>
      </c>
      <c r="B26" s="4">
        <f>'(rush def)'!B50</f>
        <v>216</v>
      </c>
      <c r="C26" s="14">
        <f>B26/'CURRENT WEEK'!B26</f>
        <v>24</v>
      </c>
      <c r="D26" s="4">
        <f t="shared" si="0"/>
        <v>10</v>
      </c>
      <c r="E26" s="4">
        <f>'(rush def)'!C50</f>
        <v>896</v>
      </c>
      <c r="F26" s="14">
        <f>E26/'CURRENT WEEK'!B26</f>
        <v>99.555555555555557</v>
      </c>
      <c r="G26" s="4">
        <f t="shared" si="1"/>
        <v>7</v>
      </c>
      <c r="H26" s="13">
        <f t="shared" si="4"/>
        <v>4.1481481481481479</v>
      </c>
      <c r="I26" s="4">
        <f t="shared" si="2"/>
        <v>10</v>
      </c>
      <c r="J26" s="4">
        <f>'(rush def)'!E50</f>
        <v>10</v>
      </c>
      <c r="K26" s="14">
        <f>J26/'CURRENT WEEK'!B26</f>
        <v>1.1111111111111112</v>
      </c>
      <c r="L26" s="4">
        <f t="shared" si="3"/>
        <v>23</v>
      </c>
      <c r="M26" s="4">
        <f>'(rush def)'!F50</f>
        <v>3</v>
      </c>
      <c r="N26" s="4">
        <f>'(rush def)'!G50</f>
        <v>2</v>
      </c>
      <c r="O26" s="4">
        <f>'(rush def)'!H50</f>
        <v>54</v>
      </c>
      <c r="P26" s="4">
        <f>'(rush def)'!I50</f>
        <v>60</v>
      </c>
      <c r="Q26" s="4">
        <f>'(rush def)'!J50</f>
        <v>27.8</v>
      </c>
      <c r="R26" s="4">
        <f>'(rush def)'!K50</f>
        <v>1</v>
      </c>
      <c r="S26" s="4"/>
      <c r="T26" s="4"/>
      <c r="U26" s="4"/>
      <c r="V26" s="4"/>
      <c r="W26" s="4"/>
    </row>
    <row r="27" spans="1:23" x14ac:dyDescent="0.2">
      <c r="A27" s="8" t="s">
        <v>54</v>
      </c>
      <c r="B27" s="4">
        <f>'(rush def)'!B52</f>
        <v>169</v>
      </c>
      <c r="C27" s="14">
        <f>B27/'CURRENT WEEK'!B27</f>
        <v>21.125</v>
      </c>
      <c r="D27" s="4">
        <f t="shared" si="0"/>
        <v>2</v>
      </c>
      <c r="E27" s="4">
        <f>'(rush def)'!C52</f>
        <v>734</v>
      </c>
      <c r="F27" s="14">
        <f>E27/'CURRENT WEEK'!B27</f>
        <v>91.75</v>
      </c>
      <c r="G27" s="4">
        <f t="shared" si="1"/>
        <v>5</v>
      </c>
      <c r="H27" s="13">
        <f t="shared" si="4"/>
        <v>4.3431952662721898</v>
      </c>
      <c r="I27" s="4">
        <f t="shared" si="2"/>
        <v>17</v>
      </c>
      <c r="J27" s="4">
        <f>'(rush def)'!E52</f>
        <v>9</v>
      </c>
      <c r="K27" s="14">
        <f>J27/'CURRENT WEEK'!B27</f>
        <v>1.125</v>
      </c>
      <c r="L27" s="4">
        <f t="shared" si="3"/>
        <v>26</v>
      </c>
      <c r="M27" s="4">
        <f>'(rush def)'!F52</f>
        <v>7</v>
      </c>
      <c r="N27" s="4">
        <f>'(rush def)'!G52</f>
        <v>2</v>
      </c>
      <c r="O27" s="4">
        <f>'(rush def)'!H52</f>
        <v>66</v>
      </c>
      <c r="P27" s="4">
        <f>'(rush def)'!I52</f>
        <v>42</v>
      </c>
      <c r="Q27" s="4">
        <f>'(rush def)'!J52</f>
        <v>24.9</v>
      </c>
      <c r="R27" s="4">
        <f>'(rush def)'!K52</f>
        <v>2</v>
      </c>
      <c r="S27" s="4"/>
      <c r="T27" s="4"/>
      <c r="U27" s="4"/>
      <c r="V27" s="4"/>
      <c r="W27" s="4"/>
    </row>
    <row r="28" spans="1:23" x14ac:dyDescent="0.2">
      <c r="A28" s="8" t="s">
        <v>55</v>
      </c>
      <c r="B28" s="4">
        <f>'(rush def)'!B54</f>
        <v>185</v>
      </c>
      <c r="C28" s="14">
        <f>B28/'CURRENT WEEK'!B28</f>
        <v>23.125</v>
      </c>
      <c r="D28" s="4">
        <f t="shared" si="0"/>
        <v>6</v>
      </c>
      <c r="E28" s="4">
        <f>'(rush def)'!C54</f>
        <v>590</v>
      </c>
      <c r="F28" s="14">
        <f>E28/'CURRENT WEEK'!B28</f>
        <v>73.75</v>
      </c>
      <c r="G28" s="4">
        <f t="shared" si="1"/>
        <v>1</v>
      </c>
      <c r="H28" s="13">
        <f t="shared" si="4"/>
        <v>3.189189189189189</v>
      </c>
      <c r="I28" s="4">
        <f t="shared" si="2"/>
        <v>1</v>
      </c>
      <c r="J28" s="4">
        <f>'(rush def)'!E54</f>
        <v>5</v>
      </c>
      <c r="K28" s="14">
        <f>J28/'CURRENT WEEK'!B28</f>
        <v>0.625</v>
      </c>
      <c r="L28" s="4">
        <f t="shared" si="3"/>
        <v>6</v>
      </c>
      <c r="M28" s="4">
        <f>'(rush def)'!F54</f>
        <v>2</v>
      </c>
      <c r="N28" s="4">
        <f>'(rush def)'!G54</f>
        <v>0</v>
      </c>
      <c r="O28" s="4">
        <f>'(rush def)'!H54</f>
        <v>24</v>
      </c>
      <c r="P28" s="4">
        <f>'(rush def)'!I54</f>
        <v>35</v>
      </c>
      <c r="Q28" s="4">
        <f>'(rush def)'!J54</f>
        <v>18.899999999999999</v>
      </c>
      <c r="R28" s="4">
        <f>'(rush def)'!K54</f>
        <v>1</v>
      </c>
      <c r="S28" s="4"/>
      <c r="T28" s="4"/>
      <c r="U28" s="4"/>
      <c r="V28" s="4"/>
      <c r="W28" s="4"/>
    </row>
    <row r="29" spans="1:23" x14ac:dyDescent="0.2">
      <c r="A29" s="8" t="s">
        <v>56</v>
      </c>
      <c r="B29" s="4">
        <f>'(rush def)'!B56</f>
        <v>242</v>
      </c>
      <c r="C29" s="14">
        <f>B29/'CURRENT WEEK'!B29</f>
        <v>30.25</v>
      </c>
      <c r="D29" s="4">
        <f t="shared" si="0"/>
        <v>30</v>
      </c>
      <c r="E29" s="4">
        <f>'(rush def)'!C56</f>
        <v>1021</v>
      </c>
      <c r="F29" s="14">
        <f>E29/'CURRENT WEEK'!B29</f>
        <v>127.625</v>
      </c>
      <c r="G29" s="4">
        <f t="shared" si="1"/>
        <v>25</v>
      </c>
      <c r="H29" s="13">
        <f t="shared" si="4"/>
        <v>4.2190082644628095</v>
      </c>
      <c r="I29" s="4">
        <f t="shared" si="2"/>
        <v>12</v>
      </c>
      <c r="J29" s="4">
        <f>'(rush def)'!E56</f>
        <v>6</v>
      </c>
      <c r="K29" s="14">
        <f>J29/'CURRENT WEEK'!B29</f>
        <v>0.75</v>
      </c>
      <c r="L29" s="4">
        <f t="shared" si="3"/>
        <v>8</v>
      </c>
      <c r="M29" s="4">
        <f>'(rush def)'!F56</f>
        <v>4</v>
      </c>
      <c r="N29" s="4">
        <f>'(rush def)'!G56</f>
        <v>1</v>
      </c>
      <c r="O29" s="4" t="str">
        <f>'(rush def)'!H56</f>
        <v>60T</v>
      </c>
      <c r="P29" s="4">
        <f>'(rush def)'!I56</f>
        <v>56</v>
      </c>
      <c r="Q29" s="4">
        <f>'(rush def)'!J56</f>
        <v>23.1</v>
      </c>
      <c r="R29" s="4">
        <f>'(rush def)'!K56</f>
        <v>1</v>
      </c>
      <c r="S29" s="4"/>
      <c r="T29" s="4"/>
      <c r="U29" s="4"/>
      <c r="V29" s="4"/>
      <c r="W29" s="4"/>
    </row>
    <row r="30" spans="1:23" x14ac:dyDescent="0.2">
      <c r="A30" s="8" t="s">
        <v>58</v>
      </c>
      <c r="B30" s="4">
        <f>'(rush def)'!B58</f>
        <v>201</v>
      </c>
      <c r="C30" s="14">
        <f>B30/'CURRENT WEEK'!B30</f>
        <v>25.125</v>
      </c>
      <c r="D30" s="4">
        <f t="shared" si="0"/>
        <v>13</v>
      </c>
      <c r="E30" s="4">
        <f>'(rush def)'!C58</f>
        <v>878</v>
      </c>
      <c r="F30" s="14">
        <f>E30/'CURRENT WEEK'!B30</f>
        <v>109.75</v>
      </c>
      <c r="G30" s="4">
        <f t="shared" si="1"/>
        <v>15</v>
      </c>
      <c r="H30" s="13">
        <f t="shared" si="4"/>
        <v>4.3681592039800998</v>
      </c>
      <c r="I30" s="4">
        <f t="shared" si="2"/>
        <v>20</v>
      </c>
      <c r="J30" s="4">
        <f>'(rush def)'!E58</f>
        <v>4</v>
      </c>
      <c r="K30" s="14">
        <f>J30/'CURRENT WEEK'!B30</f>
        <v>0.5</v>
      </c>
      <c r="L30" s="4">
        <f t="shared" si="3"/>
        <v>3</v>
      </c>
      <c r="M30" s="4">
        <f>'(rush def)'!F58</f>
        <v>8</v>
      </c>
      <c r="N30" s="4">
        <f>'(rush def)'!G58</f>
        <v>1</v>
      </c>
      <c r="O30" s="4">
        <f>'(rush def)'!H58</f>
        <v>49</v>
      </c>
      <c r="P30" s="4">
        <f>'(rush def)'!I58</f>
        <v>50</v>
      </c>
      <c r="Q30" s="4">
        <f>'(rush def)'!J58</f>
        <v>24.9</v>
      </c>
      <c r="R30" s="4">
        <f>'(rush def)'!K58</f>
        <v>3</v>
      </c>
      <c r="S30" s="4"/>
      <c r="T30" s="4"/>
      <c r="U30" s="4"/>
      <c r="V30" s="4"/>
      <c r="W30" s="4"/>
    </row>
    <row r="31" spans="1:23" x14ac:dyDescent="0.2">
      <c r="A31" s="8" t="s">
        <v>59</v>
      </c>
      <c r="B31" s="4">
        <f>'(rush def)'!B60</f>
        <v>272</v>
      </c>
      <c r="C31" s="14">
        <f>B31/'CURRENT WEEK'!B31</f>
        <v>30.222222222222221</v>
      </c>
      <c r="D31" s="4">
        <f t="shared" si="0"/>
        <v>28</v>
      </c>
      <c r="E31" s="4">
        <f>'(rush def)'!C60</f>
        <v>1232</v>
      </c>
      <c r="F31" s="14">
        <f>E31/'CURRENT WEEK'!B31</f>
        <v>136.88888888888889</v>
      </c>
      <c r="G31" s="4">
        <f t="shared" si="1"/>
        <v>31</v>
      </c>
      <c r="H31" s="13">
        <f t="shared" si="4"/>
        <v>4.5294117647058822</v>
      </c>
      <c r="I31" s="4">
        <f t="shared" si="2"/>
        <v>25</v>
      </c>
      <c r="J31" s="4">
        <f>'(rush def)'!E60</f>
        <v>15</v>
      </c>
      <c r="K31" s="14">
        <f>J31/'CURRENT WEEK'!B31</f>
        <v>1.6666666666666667</v>
      </c>
      <c r="L31" s="4">
        <f t="shared" si="3"/>
        <v>31</v>
      </c>
      <c r="M31" s="4">
        <f>'(rush def)'!F60</f>
        <v>4</v>
      </c>
      <c r="N31" s="4">
        <f>'(rush def)'!G60</f>
        <v>1</v>
      </c>
      <c r="O31" s="4">
        <f>'(rush def)'!H60</f>
        <v>83</v>
      </c>
      <c r="P31" s="4">
        <f>'(rush def)'!I60</f>
        <v>71</v>
      </c>
      <c r="Q31" s="4">
        <f>'(rush def)'!J60</f>
        <v>26.1</v>
      </c>
      <c r="R31" s="4">
        <f>'(rush def)'!K60</f>
        <v>5</v>
      </c>
      <c r="S31" s="4"/>
      <c r="T31" s="4"/>
      <c r="U31" s="4"/>
      <c r="V31" s="4"/>
      <c r="W31" s="4"/>
    </row>
    <row r="32" spans="1:23" x14ac:dyDescent="0.2">
      <c r="A32" s="8" t="s">
        <v>61</v>
      </c>
      <c r="B32" s="4">
        <f>'(rush def)'!B62</f>
        <v>202</v>
      </c>
      <c r="C32" s="14">
        <f>B32/'CURRENT WEEK'!B32</f>
        <v>22.444444444444443</v>
      </c>
      <c r="D32" s="4">
        <f t="shared" si="0"/>
        <v>4</v>
      </c>
      <c r="E32" s="4">
        <f>'(rush def)'!C62</f>
        <v>900</v>
      </c>
      <c r="F32" s="14">
        <f>E32/'CURRENT WEEK'!B32</f>
        <v>100</v>
      </c>
      <c r="G32" s="4">
        <f t="shared" si="1"/>
        <v>8</v>
      </c>
      <c r="H32" s="13">
        <f t="shared" si="4"/>
        <v>4.4554455445544559</v>
      </c>
      <c r="I32" s="4">
        <f t="shared" si="2"/>
        <v>23</v>
      </c>
      <c r="J32" s="4">
        <f>'(rush def)'!E62</f>
        <v>8</v>
      </c>
      <c r="K32" s="14">
        <f>J32/'CURRENT WEEK'!B32</f>
        <v>0.88888888888888884</v>
      </c>
      <c r="L32" s="4">
        <f t="shared" si="3"/>
        <v>16</v>
      </c>
      <c r="M32" s="4">
        <f>'(rush def)'!F62</f>
        <v>3</v>
      </c>
      <c r="N32" s="4">
        <f>'(rush def)'!G62</f>
        <v>1</v>
      </c>
      <c r="O32" s="4">
        <f>'(rush def)'!H62</f>
        <v>58</v>
      </c>
      <c r="P32" s="4">
        <f>'(rush def)'!I62</f>
        <v>53</v>
      </c>
      <c r="Q32" s="4">
        <f>'(rush def)'!J62</f>
        <v>26.2</v>
      </c>
      <c r="R32" s="4">
        <f>'(rush def)'!K62</f>
        <v>2</v>
      </c>
      <c r="S32" s="4"/>
      <c r="T32" s="4"/>
      <c r="U32" s="4"/>
      <c r="V32" s="4"/>
      <c r="W32" s="4"/>
    </row>
    <row r="33" spans="1:23" x14ac:dyDescent="0.2">
      <c r="A33" s="8" t="s">
        <v>62</v>
      </c>
      <c r="B33" s="4">
        <f>'(rush def)'!B64</f>
        <v>229</v>
      </c>
      <c r="C33" s="14">
        <f>B33/'CURRENT WEEK'!B33</f>
        <v>28.625</v>
      </c>
      <c r="D33" s="4">
        <f t="shared" si="0"/>
        <v>24</v>
      </c>
      <c r="E33" s="4">
        <f>'(rush def)'!C64</f>
        <v>1093</v>
      </c>
      <c r="F33" s="14">
        <f>E33/'CURRENT WEEK'!B33</f>
        <v>136.625</v>
      </c>
      <c r="G33" s="4">
        <f t="shared" si="1"/>
        <v>30</v>
      </c>
      <c r="H33" s="13">
        <f t="shared" si="4"/>
        <v>4.7729257641921397</v>
      </c>
      <c r="I33" s="4">
        <f t="shared" si="2"/>
        <v>30</v>
      </c>
      <c r="J33" s="4">
        <f>'(rush def)'!E64</f>
        <v>7</v>
      </c>
      <c r="K33" s="14">
        <f>J33/'CURRENT WEEK'!B33</f>
        <v>0.875</v>
      </c>
      <c r="L33" s="4">
        <f t="shared" si="3"/>
        <v>12</v>
      </c>
      <c r="M33" s="4">
        <f>'(rush def)'!F64</f>
        <v>3</v>
      </c>
      <c r="N33" s="4">
        <f>'(rush def)'!G64</f>
        <v>0</v>
      </c>
      <c r="O33" s="4">
        <f>'(rush def)'!H64</f>
        <v>33</v>
      </c>
      <c r="P33" s="4">
        <f>'(rush def)'!I64</f>
        <v>64</v>
      </c>
      <c r="Q33" s="4">
        <f>'(rush def)'!J64</f>
        <v>27.9</v>
      </c>
      <c r="R33" s="4">
        <f>'(rush def)'!K64</f>
        <v>0</v>
      </c>
      <c r="S33" s="4"/>
      <c r="T33" s="4"/>
      <c r="U33" s="4"/>
      <c r="V33" s="4"/>
      <c r="W33" s="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7C118-90B8-6A49-AC97-3472B76FCD04}">
  <sheetPr codeName="Sheet10"/>
  <dimension ref="A1:W33"/>
  <sheetViews>
    <sheetView showGridLines="0" tabSelected="1" zoomScaleNormal="100" workbookViewId="0">
      <selection activeCell="A2" sqref="A2"/>
    </sheetView>
  </sheetViews>
  <sheetFormatPr baseColWidth="10" defaultRowHeight="16" x14ac:dyDescent="0.2"/>
  <cols>
    <col min="1" max="1" width="16.83203125" customWidth="1"/>
    <col min="2" max="2" width="5.6640625" bestFit="1" customWidth="1"/>
    <col min="3" max="3" width="16.83203125" bestFit="1" customWidth="1"/>
    <col min="4" max="11" width="14.83203125" customWidth="1"/>
    <col min="12" max="13" width="8.83203125" hidden="1" customWidth="1"/>
    <col min="14" max="15" width="16.83203125" style="5" hidden="1" customWidth="1"/>
    <col min="16" max="16" width="25.83203125" style="5" customWidth="1"/>
    <col min="17" max="17" width="7.33203125" style="5" bestFit="1" customWidth="1"/>
    <col min="18" max="18" width="25.83203125" style="5" customWidth="1"/>
    <col min="19" max="19" width="7.33203125" style="5" bestFit="1" customWidth="1"/>
    <col min="20" max="20" width="25.83203125" style="5" customWidth="1"/>
    <col min="21" max="21" width="7.33203125" style="5" bestFit="1" customWidth="1"/>
    <col min="22" max="22" width="43.33203125" style="5" bestFit="1" customWidth="1"/>
  </cols>
  <sheetData>
    <row r="1" spans="1:23" s="12" customFormat="1" ht="19" x14ac:dyDescent="0.25">
      <c r="A1" s="15" t="s">
        <v>77</v>
      </c>
      <c r="B1" s="25" t="s">
        <v>173</v>
      </c>
      <c r="C1" s="21" t="s">
        <v>78</v>
      </c>
      <c r="D1" s="19" t="s">
        <v>112</v>
      </c>
      <c r="E1" s="15" t="s">
        <v>114</v>
      </c>
      <c r="F1" s="21" t="s">
        <v>115</v>
      </c>
      <c r="G1" s="19" t="s">
        <v>113</v>
      </c>
      <c r="H1" s="21" t="s">
        <v>116</v>
      </c>
      <c r="I1" s="19" t="s">
        <v>119</v>
      </c>
      <c r="J1" s="21" t="s">
        <v>118</v>
      </c>
      <c r="K1" s="21" t="s">
        <v>172</v>
      </c>
      <c r="L1" s="19" t="s">
        <v>83</v>
      </c>
      <c r="M1" s="19" t="s">
        <v>185</v>
      </c>
      <c r="N1" s="15" t="s">
        <v>117</v>
      </c>
      <c r="O1" s="15" t="s">
        <v>64</v>
      </c>
      <c r="P1" s="15" t="s">
        <v>223</v>
      </c>
      <c r="Q1" s="15" t="s">
        <v>226</v>
      </c>
      <c r="R1" s="15" t="s">
        <v>224</v>
      </c>
      <c r="S1" s="15" t="s">
        <v>226</v>
      </c>
      <c r="T1" s="15" t="s">
        <v>225</v>
      </c>
      <c r="U1" s="15" t="s">
        <v>226</v>
      </c>
      <c r="V1" s="15" t="s">
        <v>120</v>
      </c>
      <c r="W1" s="34"/>
    </row>
    <row r="2" spans="1:23" x14ac:dyDescent="0.2">
      <c r="A2" s="16" t="s">
        <v>16</v>
      </c>
      <c r="B2" s="36">
        <v>8</v>
      </c>
      <c r="C2" s="23" t="s">
        <v>53</v>
      </c>
      <c r="D2" s="20">
        <f>IFERROR(('Team Passing'!$I2-VLOOKUP('CURRENT WEEK'!$C2,'Team Passing Def'!$A$2:$I$33,9,FALSE))/-31,"")</f>
        <v>-3.2258064516129031E-2</v>
      </c>
      <c r="E2" s="17">
        <f>IFERROR(('Team Passing'!$G2-VLOOKUP('CURRENT WEEK'!$C2,'Team Passing Def'!$A$2:$G$33,7,FALSE))/-31,"")</f>
        <v>-9.6774193548387094E-2</v>
      </c>
      <c r="F2" s="22">
        <f>IFERROR(('Team Passing'!$D2-VLOOKUP('CURRENT WEEK'!$C2,'Team Passing Def'!$A$2:$D$33,4,FALSE))/-31,"")</f>
        <v>0.12903225806451613</v>
      </c>
      <c r="G2" s="20">
        <f>IFERROR(('Team Rushing'!$I2-VLOOKUP('CURRENT WEEK'!$C2,'Team Rushing Def'!$A$2:$I$33,9,FALSE))/-31,"")</f>
        <v>-9.6774193548387094E-2</v>
      </c>
      <c r="H2" s="22">
        <f>IFERROR(('Team Rushing'!$D2-VLOOKUP('CURRENT WEEK'!$C2,'Team Rushing Def'!$A$2:$D$33,4,FALSE))/-31,"")</f>
        <v>-0.22580645161290322</v>
      </c>
      <c r="I2" s="20">
        <f>IFERROR(('Team Passing'!$O2-VLOOKUP('CURRENT WEEK'!$C2,'Team Passing Def'!$A$2:$O$33,13,FALSE))/-31,"")</f>
        <v>-0.29032258064516131</v>
      </c>
      <c r="J2" s="22">
        <f>IFERROR(('Team Rushing'!$L2-VLOOKUP('CURRENT WEEK'!$C2,'Team Rushing Def'!$A$2:$L$33,12,FALSE))/-31,"")</f>
        <v>0.54838709677419351</v>
      </c>
      <c r="K2" s="22">
        <f>IF(ISBLANK(C2),"",('Team Passing'!C2+'Team Rushing'!C2+VLOOKUP('CURRENT WEEK'!C2,'Team Passing'!$A$2:$C$33,3,FALSE)+VLOOKUP('CURRENT WEEK'!C2,'Team Rushing'!$A$2:$C$33,3,FALSE))/2)</f>
        <v>60.125</v>
      </c>
      <c r="L2" s="24" t="s">
        <v>90</v>
      </c>
      <c r="M2" s="27">
        <v>48.5</v>
      </c>
      <c r="N2" s="18" t="str">
        <f>IF(ISBLANK($L2),"",IF(AND(D2&gt;0.5,_xlfn.NUMBERVALUE($L2)&gt;-4.5),"OVER",IF(AND(D2&lt;-0.5,_xlfn.NUMBERVALUE($L2)&lt;4.5),"UNDER","")))</f>
        <v/>
      </c>
      <c r="O2" s="18" t="str">
        <f>IF(ISBLANK($L2),"",IF(AND(G2&gt;0.5,_xlfn.NUMBERVALUE($L2)&gt;-4.5),"OVER",IF(AND(G2&lt;-0.5,_xlfn.NUMBERVALUE($L2)&lt;4.5),"UNDER","")))</f>
        <v/>
      </c>
      <c r="P2" s="16"/>
      <c r="Q2" s="16"/>
      <c r="R2" s="16"/>
      <c r="S2" s="16"/>
      <c r="T2" s="16"/>
      <c r="U2" s="16"/>
      <c r="V2" s="16"/>
      <c r="W2" s="35"/>
    </row>
    <row r="3" spans="1:23" x14ac:dyDescent="0.2">
      <c r="A3" s="16" t="s">
        <v>18</v>
      </c>
      <c r="B3" s="36">
        <v>9</v>
      </c>
      <c r="C3" s="23"/>
      <c r="D3" s="20" t="str">
        <f>IFERROR(('Team Passing'!$I3-VLOOKUP('CURRENT WEEK'!$C3,'Team Passing Def'!$A$2:$I$33,9,FALSE))/-31,"")</f>
        <v/>
      </c>
      <c r="E3" s="17" t="str">
        <f>IFERROR(('Team Passing'!$G3-VLOOKUP('CURRENT WEEK'!$C3,'Team Passing Def'!$A$2:$G$33,7,FALSE))/-31,"")</f>
        <v/>
      </c>
      <c r="F3" s="22" t="str">
        <f>IFERROR(('Team Passing'!$D3-VLOOKUP('CURRENT WEEK'!$C3,'Team Passing Def'!$A$2:$D$33,4,FALSE))/-31,"")</f>
        <v/>
      </c>
      <c r="G3" s="20" t="str">
        <f>IFERROR(('Team Rushing'!$I3-VLOOKUP('CURRENT WEEK'!$C3,'Team Rushing Def'!$A$2:$I$33,9,FALSE))/-31,"")</f>
        <v/>
      </c>
      <c r="H3" s="22" t="str">
        <f>IFERROR(('Team Rushing'!$D3-VLOOKUP('CURRENT WEEK'!$C3,'Team Rushing Def'!$A$2:$D$33,4,FALSE))/-31,"")</f>
        <v/>
      </c>
      <c r="I3" s="20" t="str">
        <f>IFERROR(('Team Passing'!$O3-VLOOKUP('CURRENT WEEK'!$C3,'Team Passing Def'!$A$2:$O$33,13,FALSE))/-31,"")</f>
        <v/>
      </c>
      <c r="J3" s="22" t="str">
        <f>IFERROR(('Team Rushing'!$L3-VLOOKUP('CURRENT WEEK'!$C3,'Team Rushing Def'!$A$2:$L$33,12,FALSE))/-31,"")</f>
        <v/>
      </c>
      <c r="K3" s="22" t="str">
        <f>IF(ISBLANK(C3),"",('Team Passing'!C3+'Team Rushing'!C3+VLOOKUP('CURRENT WEEK'!C3,'Team Passing'!$A$2:$C$33,3,FALSE)+VLOOKUP('CURRENT WEEK'!C3,'Team Rushing'!$A$2:$C$33,3,FALSE))/2)</f>
        <v/>
      </c>
      <c r="L3" s="24"/>
      <c r="M3" s="27"/>
      <c r="N3" s="18" t="str">
        <f t="shared" ref="N3:N33" si="0">IF(ISBLANK($L3),"",IF(AND(D3&gt;0.5,_xlfn.NUMBERVALUE($L3)&gt;-4.5),"OVER",IF(AND(D3&lt;-0.5,_xlfn.NUMBERVALUE($L3)&lt;4.5),"UNDER","")))</f>
        <v/>
      </c>
      <c r="O3" s="18" t="str">
        <f t="shared" ref="O3:O33" si="1">IF(ISBLANK($L3),"",IF(AND(G3&gt;0.5,_xlfn.NUMBERVALUE($L3)&gt;-4.5),"OVER",IF(AND(G3&lt;-0.5,_xlfn.NUMBERVALUE($L3)&lt;4.5),"UNDER","")))</f>
        <v/>
      </c>
      <c r="P3" s="16"/>
      <c r="Q3" s="16"/>
      <c r="R3" s="16"/>
      <c r="S3" s="16"/>
      <c r="T3" s="16"/>
      <c r="U3" s="16"/>
      <c r="V3" s="16"/>
      <c r="W3" s="35"/>
    </row>
    <row r="4" spans="1:23" x14ac:dyDescent="0.2">
      <c r="A4" s="16" t="s">
        <v>19</v>
      </c>
      <c r="B4" s="36">
        <v>9</v>
      </c>
      <c r="C4" s="23"/>
      <c r="D4" s="20" t="str">
        <f>IFERROR(('Team Passing'!$I4-VLOOKUP('CURRENT WEEK'!$C4,'Team Passing Def'!$A$2:$I$33,9,FALSE))/-31,"")</f>
        <v/>
      </c>
      <c r="E4" s="17" t="str">
        <f>IFERROR(('Team Passing'!$G4-VLOOKUP('CURRENT WEEK'!$C4,'Team Passing Def'!$A$2:$G$33,7,FALSE))/-31,"")</f>
        <v/>
      </c>
      <c r="F4" s="22" t="str">
        <f>IFERROR(('Team Passing'!$D4-VLOOKUP('CURRENT WEEK'!$C4,'Team Passing Def'!$A$2:$D$33,4,FALSE))/-31,"")</f>
        <v/>
      </c>
      <c r="G4" s="20" t="str">
        <f>IFERROR(('Team Rushing'!$I4-VLOOKUP('CURRENT WEEK'!$C4,'Team Rushing Def'!$A$2:$I$33,9,FALSE))/-31,"")</f>
        <v/>
      </c>
      <c r="H4" s="22" t="str">
        <f>IFERROR(('Team Rushing'!$D4-VLOOKUP('CURRENT WEEK'!$C4,'Team Rushing Def'!$A$2:$D$33,4,FALSE))/-31,"")</f>
        <v/>
      </c>
      <c r="I4" s="20" t="str">
        <f>IFERROR(('Team Passing'!$O4-VLOOKUP('CURRENT WEEK'!$C4,'Team Passing Def'!$A$2:$O$33,13,FALSE))/-31,"")</f>
        <v/>
      </c>
      <c r="J4" s="22" t="str">
        <f>IFERROR(('Team Rushing'!$L4-VLOOKUP('CURRENT WEEK'!$C4,'Team Rushing Def'!$A$2:$L$33,12,FALSE))/-31,"")</f>
        <v/>
      </c>
      <c r="K4" s="22" t="str">
        <f>IF(ISBLANK(C4),"",('Team Passing'!C4+'Team Rushing'!C4+VLOOKUP('CURRENT WEEK'!C4,'Team Passing'!$A$2:$C$33,3,FALSE)+VLOOKUP('CURRENT WEEK'!C4,'Team Rushing'!$A$2:$C$33,3,FALSE))/2)</f>
        <v/>
      </c>
      <c r="L4" s="24"/>
      <c r="M4" s="27"/>
      <c r="N4" s="18" t="str">
        <f t="shared" si="0"/>
        <v/>
      </c>
      <c r="O4" s="18" t="str">
        <f t="shared" si="1"/>
        <v/>
      </c>
      <c r="P4" s="16"/>
      <c r="Q4" s="16"/>
      <c r="R4" s="16"/>
      <c r="S4" s="16"/>
      <c r="T4" s="16"/>
      <c r="U4" s="16"/>
      <c r="V4" s="16"/>
      <c r="W4" s="35"/>
    </row>
    <row r="5" spans="1:23" x14ac:dyDescent="0.2">
      <c r="A5" s="16" t="s">
        <v>21</v>
      </c>
      <c r="B5" s="36">
        <v>8</v>
      </c>
      <c r="C5" s="23" t="s">
        <v>45</v>
      </c>
      <c r="D5" s="20">
        <f>IFERROR(('Team Passing'!$I5-VLOOKUP('CURRENT WEEK'!$C5,'Team Passing Def'!$A$2:$I$33,9,FALSE))/-31,"")</f>
        <v>0.16129032258064516</v>
      </c>
      <c r="E5" s="17">
        <f>IFERROR(('Team Passing'!$G5-VLOOKUP('CURRENT WEEK'!$C5,'Team Passing Def'!$A$2:$G$33,7,FALSE))/-31,"")</f>
        <v>0.38709677419354838</v>
      </c>
      <c r="F5" s="22">
        <f>IFERROR(('Team Passing'!$D5-VLOOKUP('CURRENT WEEK'!$C5,'Team Passing Def'!$A$2:$D$33,4,FALSE))/-31,"")</f>
        <v>0.58064516129032262</v>
      </c>
      <c r="G5" s="20">
        <f>IFERROR(('Team Rushing'!$I5-VLOOKUP('CURRENT WEEK'!$C5,'Team Rushing Def'!$A$2:$I$33,9,FALSE))/-31,"")</f>
        <v>0.4838709677419355</v>
      </c>
      <c r="H5" s="22">
        <f>IFERROR(('Team Rushing'!$D5-VLOOKUP('CURRENT WEEK'!$C5,'Team Rushing Def'!$A$2:$D$33,4,FALSE))/-31,"")</f>
        <v>0.41935483870967744</v>
      </c>
      <c r="I5" s="20">
        <f>IFERROR(('Team Passing'!$O5-VLOOKUP('CURRENT WEEK'!$C5,'Team Passing Def'!$A$2:$O$33,13,FALSE))/-31,"")</f>
        <v>0.19354838709677419</v>
      </c>
      <c r="J5" s="22">
        <f>IFERROR(('Team Rushing'!$L5-VLOOKUP('CURRENT WEEK'!$C5,'Team Rushing Def'!$A$2:$L$33,12,FALSE))/-31,"")</f>
        <v>0.74193548387096775</v>
      </c>
      <c r="K5" s="22">
        <f>IF(ISBLANK(C5),"",('Team Passing'!C5+'Team Rushing'!C5+VLOOKUP('CURRENT WEEK'!C5,'Team Passing'!$A$2:$C$33,3,FALSE)+VLOOKUP('CURRENT WEEK'!C5,'Team Rushing'!$A$2:$C$33,3,FALSE))/2)</f>
        <v>63.8125</v>
      </c>
      <c r="L5" s="24" t="s">
        <v>245</v>
      </c>
      <c r="M5" s="27">
        <v>47.5</v>
      </c>
      <c r="N5" s="18" t="str">
        <f t="shared" si="0"/>
        <v/>
      </c>
      <c r="O5" s="18" t="str">
        <f t="shared" si="1"/>
        <v/>
      </c>
      <c r="P5" s="16"/>
      <c r="Q5" s="16"/>
      <c r="R5" s="16"/>
      <c r="S5" s="16"/>
      <c r="T5" s="16"/>
      <c r="U5" s="16"/>
      <c r="V5" s="16"/>
      <c r="W5" s="35"/>
    </row>
    <row r="6" spans="1:23" x14ac:dyDescent="0.2">
      <c r="A6" s="16" t="s">
        <v>22</v>
      </c>
      <c r="B6" s="36">
        <v>9</v>
      </c>
      <c r="C6" s="23" t="s">
        <v>38</v>
      </c>
      <c r="D6" s="20">
        <f>IFERROR(('Team Passing'!$I6-VLOOKUP('CURRENT WEEK'!$C6,'Team Passing Def'!$A$2:$I$33,9,FALSE))/-31,"")</f>
        <v>0.19354838709677419</v>
      </c>
      <c r="E6" s="17">
        <f>IFERROR(('Team Passing'!$G6-VLOOKUP('CURRENT WEEK'!$C6,'Team Passing Def'!$A$2:$G$33,7,FALSE))/-31,"")</f>
        <v>0.93548387096774188</v>
      </c>
      <c r="F6" s="22">
        <f>IFERROR(('Team Passing'!$D6-VLOOKUP('CURRENT WEEK'!$C6,'Team Passing Def'!$A$2:$D$33,4,FALSE))/-31,"")</f>
        <v>-0.32258064516129031</v>
      </c>
      <c r="G6" s="20">
        <f>IFERROR(('Team Rushing'!$I6-VLOOKUP('CURRENT WEEK'!$C6,'Team Rushing Def'!$A$2:$I$33,9,FALSE))/-31,"")</f>
        <v>-0.16129032258064516</v>
      </c>
      <c r="H6" s="22">
        <f>IFERROR(('Team Rushing'!$D6-VLOOKUP('CURRENT WEEK'!$C6,'Team Rushing Def'!$A$2:$D$33,4,FALSE))/-31,"")</f>
        <v>0.32258064516129031</v>
      </c>
      <c r="I6" s="20">
        <f>IFERROR(('Team Passing'!$O6-VLOOKUP('CURRENT WEEK'!$C6,'Team Passing Def'!$A$2:$O$33,13,FALSE))/-31,"")</f>
        <v>-3.2258064516129031E-2</v>
      </c>
      <c r="J6" s="22">
        <f>IFERROR(('Team Rushing'!$L6-VLOOKUP('CURRENT WEEK'!$C6,'Team Rushing Def'!$A$2:$L$33,12,FALSE))/-31,"")</f>
        <v>-3.2258064516129031E-2</v>
      </c>
      <c r="K6" s="22">
        <f>IF(ISBLANK(C6),"",('Team Passing'!C6+'Team Rushing'!C6+VLOOKUP('CURRENT WEEK'!C6,'Team Passing'!$A$2:$C$33,3,FALSE)+VLOOKUP('CURRENT WEEK'!C6,'Team Rushing'!$A$2:$C$33,3,FALSE))/2)</f>
        <v>58.888888888888893</v>
      </c>
      <c r="L6" s="24" t="s">
        <v>84</v>
      </c>
      <c r="M6" s="27">
        <v>44</v>
      </c>
      <c r="N6" s="18" t="str">
        <f t="shared" si="0"/>
        <v/>
      </c>
      <c r="O6" s="18" t="str">
        <f t="shared" si="1"/>
        <v/>
      </c>
      <c r="P6" s="16"/>
      <c r="Q6" s="16"/>
      <c r="R6" s="16"/>
      <c r="S6" s="16"/>
      <c r="T6" s="16"/>
      <c r="U6" s="16"/>
      <c r="V6" s="16"/>
      <c r="W6" s="35"/>
    </row>
    <row r="7" spans="1:23" x14ac:dyDescent="0.2">
      <c r="A7" s="16" t="s">
        <v>23</v>
      </c>
      <c r="B7" s="36">
        <v>9</v>
      </c>
      <c r="C7" s="23" t="s">
        <v>50</v>
      </c>
      <c r="D7" s="20">
        <f>IFERROR(('Team Passing'!$I7-VLOOKUP('CURRENT WEEK'!$C7,'Team Passing Def'!$A$2:$I$33,9,FALSE))/-31,"")</f>
        <v>9.6774193548387094E-2</v>
      </c>
      <c r="E7" s="17">
        <f>IFERROR(('Team Passing'!$G7-VLOOKUP('CURRENT WEEK'!$C7,'Team Passing Def'!$A$2:$G$33,7,FALSE))/-31,"")</f>
        <v>-0.35483870967741937</v>
      </c>
      <c r="F7" s="22">
        <f>IFERROR(('Team Passing'!$D7-VLOOKUP('CURRENT WEEK'!$C7,'Team Passing Def'!$A$2:$D$33,4,FALSE))/-31,"")</f>
        <v>-0.38709677419354838</v>
      </c>
      <c r="G7" s="20">
        <f>IFERROR(('Team Rushing'!$I7-VLOOKUP('CURRENT WEEK'!$C7,'Team Rushing Def'!$A$2:$I$33,9,FALSE))/-31,"")</f>
        <v>0.25806451612903225</v>
      </c>
      <c r="H7" s="22">
        <f>IFERROR(('Team Rushing'!$D7-VLOOKUP('CURRENT WEEK'!$C7,'Team Rushing Def'!$A$2:$D$33,4,FALSE))/-31,"")</f>
        <v>0.41935483870967744</v>
      </c>
      <c r="I7" s="20">
        <f>IFERROR(('Team Passing'!$O7-VLOOKUP('CURRENT WEEK'!$C7,'Team Passing Def'!$A$2:$O$33,13,FALSE))/-31,"")</f>
        <v>-0.4838709677419355</v>
      </c>
      <c r="J7" s="22">
        <f>IFERROR(('Team Rushing'!$L7-VLOOKUP('CURRENT WEEK'!$C7,'Team Rushing Def'!$A$2:$L$33,12,FALSE))/-31,"")</f>
        <v>0.12903225806451613</v>
      </c>
      <c r="K7" s="22">
        <f>IF(ISBLANK(C7),"",('Team Passing'!C7+'Team Rushing'!C7+VLOOKUP('CURRENT WEEK'!C7,'Team Passing'!$A$2:$C$33,3,FALSE)+VLOOKUP('CURRENT WEEK'!C7,'Team Rushing'!$A$2:$C$33,3,FALSE))/2)</f>
        <v>60.388888888888886</v>
      </c>
      <c r="L7" s="24" t="s">
        <v>92</v>
      </c>
      <c r="M7" s="27">
        <v>44.5</v>
      </c>
      <c r="N7" s="18" t="str">
        <f t="shared" si="0"/>
        <v/>
      </c>
      <c r="O7" s="18" t="str">
        <f t="shared" si="1"/>
        <v/>
      </c>
      <c r="P7" s="16"/>
      <c r="Q7" s="16"/>
      <c r="R7" s="16"/>
      <c r="S7" s="16"/>
      <c r="T7" s="16"/>
      <c r="U7" s="16"/>
      <c r="V7" s="16"/>
      <c r="W7" s="35"/>
    </row>
    <row r="8" spans="1:23" x14ac:dyDescent="0.2">
      <c r="A8" s="16" t="s">
        <v>25</v>
      </c>
      <c r="B8" s="36">
        <v>8</v>
      </c>
      <c r="C8" s="23" t="s">
        <v>40</v>
      </c>
      <c r="D8" s="20">
        <f>IFERROR(('Team Passing'!$I8-VLOOKUP('CURRENT WEEK'!$C8,'Team Passing Def'!$A$2:$I$33,9,FALSE))/-31,"")</f>
        <v>0.45161290322580644</v>
      </c>
      <c r="E8" s="17">
        <f>IFERROR(('Team Passing'!$G8-VLOOKUP('CURRENT WEEK'!$C8,'Team Passing Def'!$A$2:$G$33,7,FALSE))/-31,"")</f>
        <v>0.35483870967741937</v>
      </c>
      <c r="F8" s="22">
        <f>IFERROR(('Team Passing'!$D8-VLOOKUP('CURRENT WEEK'!$C8,'Team Passing Def'!$A$2:$D$33,4,FALSE))/-31,"")</f>
        <v>0.80645161290322576</v>
      </c>
      <c r="G8" s="20">
        <f>IFERROR(('Team Rushing'!$I8-VLOOKUP('CURRENT WEEK'!$C8,'Team Rushing Def'!$A$2:$I$33,9,FALSE))/-31,"")</f>
        <v>-0.29032258064516131</v>
      </c>
      <c r="H8" s="22">
        <f>IFERROR(('Team Rushing'!$D8-VLOOKUP('CURRENT WEEK'!$C8,'Team Rushing Def'!$A$2:$D$33,4,FALSE))/-31,"")</f>
        <v>-0.5161290322580645</v>
      </c>
      <c r="I8" s="20">
        <f>IFERROR(('Team Passing'!$O8-VLOOKUP('CURRENT WEEK'!$C8,'Team Passing Def'!$A$2:$O$33,13,FALSE))/-31,"")</f>
        <v>0.61290322580645162</v>
      </c>
      <c r="J8" s="22">
        <f>IFERROR(('Team Rushing'!$L8-VLOOKUP('CURRENT WEEK'!$C8,'Team Rushing Def'!$A$2:$L$33,12,FALSE))/-31,"")</f>
        <v>-6.4516129032258063E-2</v>
      </c>
      <c r="K8" s="22">
        <f>IF(ISBLANK(C8),"",('Team Passing'!C8+'Team Rushing'!C8+VLOOKUP('CURRENT WEEK'!C8,'Team Passing'!$A$2:$C$33,3,FALSE)+VLOOKUP('CURRENT WEEK'!C8,'Team Rushing'!$A$2:$C$33,3,FALSE))/2)</f>
        <v>63.5</v>
      </c>
      <c r="L8" s="24" t="s">
        <v>93</v>
      </c>
      <c r="M8" s="27">
        <v>51.5</v>
      </c>
      <c r="N8" s="18" t="str">
        <f t="shared" si="0"/>
        <v/>
      </c>
      <c r="O8" s="18" t="str">
        <f t="shared" si="1"/>
        <v/>
      </c>
      <c r="P8" s="16"/>
      <c r="Q8" s="16"/>
      <c r="R8" s="16"/>
      <c r="S8" s="16"/>
      <c r="T8" s="16"/>
      <c r="U8" s="16"/>
      <c r="V8" s="16"/>
      <c r="W8" s="35"/>
    </row>
    <row r="9" spans="1:23" x14ac:dyDescent="0.2">
      <c r="A9" s="16" t="s">
        <v>27</v>
      </c>
      <c r="B9" s="36">
        <v>9</v>
      </c>
      <c r="C9" s="23" t="s">
        <v>48</v>
      </c>
      <c r="D9" s="20">
        <f>IFERROR(('Team Passing'!$I9-VLOOKUP('CURRENT WEEK'!$C9,'Team Passing Def'!$A$2:$I$33,9,FALSE))/-31,"")</f>
        <v>9.6774193548387094E-2</v>
      </c>
      <c r="E9" s="17">
        <f>IFERROR(('Team Passing'!$G9-VLOOKUP('CURRENT WEEK'!$C9,'Team Passing Def'!$A$2:$G$33,7,FALSE))/-31,"")</f>
        <v>0.25806451612903225</v>
      </c>
      <c r="F9" s="22">
        <f>IFERROR(('Team Passing'!$D9-VLOOKUP('CURRENT WEEK'!$C9,'Team Passing Def'!$A$2:$D$33,4,FALSE))/-31,"")</f>
        <v>-0.77419354838709675</v>
      </c>
      <c r="G9" s="20">
        <f>IFERROR(('Team Rushing'!$I9-VLOOKUP('CURRENT WEEK'!$C9,'Team Rushing Def'!$A$2:$I$33,9,FALSE))/-31,"")</f>
        <v>-9.6774193548387094E-2</v>
      </c>
      <c r="H9" s="22">
        <f>IFERROR(('Team Rushing'!$D9-VLOOKUP('CURRENT WEEK'!$C9,'Team Rushing Def'!$A$2:$D$33,4,FALSE))/-31,"")</f>
        <v>0.38709677419354838</v>
      </c>
      <c r="I9" s="20">
        <f>IFERROR(('Team Passing'!$O9-VLOOKUP('CURRENT WEEK'!$C9,'Team Passing Def'!$A$2:$O$33,13,FALSE))/-31,"")</f>
        <v>0.12903225806451613</v>
      </c>
      <c r="J9" s="22">
        <f>IFERROR(('Team Rushing'!$L9-VLOOKUP('CURRENT WEEK'!$C9,'Team Rushing Def'!$A$2:$L$33,12,FALSE))/-31,"")</f>
        <v>0.25806451612903225</v>
      </c>
      <c r="K9" s="22">
        <f>IF(ISBLANK(C9),"",('Team Passing'!C9+'Team Rushing'!C9+VLOOKUP('CURRENT WEEK'!C9,'Team Passing'!$A$2:$C$33,3,FALSE)+VLOOKUP('CURRENT WEEK'!C9,'Team Rushing'!$A$2:$C$33,3,FALSE))/2)</f>
        <v>63.611111111111107</v>
      </c>
      <c r="L9" s="24" t="s">
        <v>93</v>
      </c>
      <c r="M9" s="27">
        <v>44</v>
      </c>
      <c r="N9" s="18" t="str">
        <f t="shared" si="0"/>
        <v/>
      </c>
      <c r="O9" s="18" t="str">
        <f t="shared" si="1"/>
        <v/>
      </c>
      <c r="P9" s="16"/>
      <c r="Q9" s="16"/>
      <c r="R9" s="16"/>
      <c r="S9" s="16"/>
      <c r="T9" s="16"/>
      <c r="U9" s="16"/>
      <c r="V9" s="16"/>
      <c r="W9" s="35"/>
    </row>
    <row r="10" spans="1:23" x14ac:dyDescent="0.2">
      <c r="A10" s="16" t="s">
        <v>29</v>
      </c>
      <c r="B10" s="36">
        <v>8</v>
      </c>
      <c r="C10" s="23" t="s">
        <v>62</v>
      </c>
      <c r="D10" s="20">
        <f>IFERROR(('Team Passing'!$I10-VLOOKUP('CURRENT WEEK'!$C10,'Team Passing Def'!$A$2:$I$33,9,FALSE))/-31,"")</f>
        <v>0.19354838709677419</v>
      </c>
      <c r="E10" s="17">
        <f>IFERROR(('Team Passing'!$G10-VLOOKUP('CURRENT WEEK'!$C10,'Team Passing Def'!$A$2:$G$33,7,FALSE))/-31,"")</f>
        <v>-0.32258064516129031</v>
      </c>
      <c r="F10" s="22">
        <f>IFERROR(('Team Passing'!$D10-VLOOKUP('CURRENT WEEK'!$C10,'Team Passing Def'!$A$2:$D$33,4,FALSE))/-31,"")</f>
        <v>0.5161290322580645</v>
      </c>
      <c r="G10" s="20">
        <f>IFERROR(('Team Rushing'!$I10-VLOOKUP('CURRENT WEEK'!$C10,'Team Rushing Def'!$A$2:$I$33,9,FALSE))/-31,"")</f>
        <v>0.5161290322580645</v>
      </c>
      <c r="H10" s="22">
        <f>IFERROR(('Team Rushing'!$D10-VLOOKUP('CURRENT WEEK'!$C10,'Team Rushing Def'!$A$2:$D$33,4,FALSE))/-31,"")</f>
        <v>-9.6774193548387094E-2</v>
      </c>
      <c r="I10" s="20">
        <f>IFERROR(('Team Passing'!$O10-VLOOKUP('CURRENT WEEK'!$C10,'Team Passing Def'!$A$2:$O$33,13,FALSE))/-31,"")</f>
        <v>0.22580645161290322</v>
      </c>
      <c r="J10" s="22">
        <f>IFERROR(('Team Rushing'!$L10-VLOOKUP('CURRENT WEEK'!$C10,'Team Rushing Def'!$A$2:$L$33,12,FALSE))/-31,"")</f>
        <v>-6.4516129032258063E-2</v>
      </c>
      <c r="K10" s="22">
        <f>IF(ISBLANK(C10),"",('Team Passing'!C10+'Team Rushing'!C10+VLOOKUP('CURRENT WEEK'!C10,'Team Passing'!$A$2:$C$33,3,FALSE)+VLOOKUP('CURRENT WEEK'!C10,'Team Rushing'!$A$2:$C$33,3,FALSE))/2)</f>
        <v>64.25</v>
      </c>
      <c r="L10" s="24" t="s">
        <v>156</v>
      </c>
      <c r="M10" s="27">
        <v>52</v>
      </c>
      <c r="N10" s="18" t="str">
        <f t="shared" si="0"/>
        <v/>
      </c>
      <c r="O10" s="18" t="str">
        <f t="shared" si="1"/>
        <v>OVER</v>
      </c>
      <c r="P10" s="16"/>
      <c r="Q10" s="16"/>
      <c r="R10" s="16"/>
      <c r="S10" s="16"/>
      <c r="T10" s="16"/>
      <c r="U10" s="16"/>
      <c r="V10" s="16"/>
      <c r="W10" s="35"/>
    </row>
    <row r="11" spans="1:23" x14ac:dyDescent="0.2">
      <c r="A11" s="16" t="s">
        <v>31</v>
      </c>
      <c r="B11" s="36">
        <v>9</v>
      </c>
      <c r="C11" s="23" t="s">
        <v>51</v>
      </c>
      <c r="D11" s="20">
        <f>IFERROR(('Team Passing'!$I11-VLOOKUP('CURRENT WEEK'!$C11,'Team Passing Def'!$A$2:$I$33,9,FALSE))/-31,"")</f>
        <v>-0.70967741935483875</v>
      </c>
      <c r="E11" s="17">
        <f>IFERROR(('Team Passing'!$G11-VLOOKUP('CURRENT WEEK'!$C11,'Team Passing Def'!$A$2:$G$33,7,FALSE))/-31,"")</f>
        <v>-9.6774193548387094E-2</v>
      </c>
      <c r="F11" s="22">
        <f>IFERROR(('Team Passing'!$D11-VLOOKUP('CURRENT WEEK'!$C11,'Team Passing Def'!$A$2:$D$33,4,FALSE))/-31,"")</f>
        <v>0.54838709677419351</v>
      </c>
      <c r="G11" s="20">
        <f>IFERROR(('Team Rushing'!$I11-VLOOKUP('CURRENT WEEK'!$C11,'Team Rushing Def'!$A$2:$I$33,9,FALSE))/-31,"")</f>
        <v>0.64516129032258063</v>
      </c>
      <c r="H11" s="22">
        <f>IFERROR(('Team Rushing'!$D11-VLOOKUP('CURRENT WEEK'!$C11,'Team Rushing Def'!$A$2:$D$33,4,FALSE))/-31,"")</f>
        <v>6.4516129032258063E-2</v>
      </c>
      <c r="I11" s="20">
        <f>IFERROR(('Team Passing'!$O11-VLOOKUP('CURRENT WEEK'!$C11,'Team Passing Def'!$A$2:$O$33,13,FALSE))/-31,"")</f>
        <v>0.19354838709677419</v>
      </c>
      <c r="J11" s="22">
        <f>IFERROR(('Team Rushing'!$L11-VLOOKUP('CURRENT WEEK'!$C11,'Team Rushing Def'!$A$2:$L$33,12,FALSE))/-31,"")</f>
        <v>-0.16129032258064516</v>
      </c>
      <c r="K11" s="22">
        <f>IF(ISBLANK(C11),"",('Team Passing'!C11+'Team Rushing'!C11+VLOOKUP('CURRENT WEEK'!C11,'Team Passing'!$A$2:$C$33,3,FALSE)+VLOOKUP('CURRENT WEEK'!C11,'Team Rushing'!$A$2:$C$33,3,FALSE))/2)</f>
        <v>64.729166666666657</v>
      </c>
      <c r="L11" s="24" t="s">
        <v>156</v>
      </c>
      <c r="M11" s="27">
        <v>51.5</v>
      </c>
      <c r="N11" s="18" t="str">
        <f t="shared" si="0"/>
        <v>UNDER</v>
      </c>
      <c r="O11" s="18" t="str">
        <f t="shared" si="1"/>
        <v>OVER</v>
      </c>
      <c r="P11" s="16"/>
      <c r="Q11" s="16"/>
      <c r="R11" s="16"/>
      <c r="S11" s="16"/>
      <c r="T11" s="16"/>
      <c r="U11" s="16"/>
      <c r="V11" s="16"/>
      <c r="W11" s="35"/>
    </row>
    <row r="12" spans="1:23" x14ac:dyDescent="0.2">
      <c r="A12" s="16" t="s">
        <v>33</v>
      </c>
      <c r="B12" s="36">
        <v>9</v>
      </c>
      <c r="C12" s="23" t="s">
        <v>44</v>
      </c>
      <c r="D12" s="20">
        <f>IFERROR(('Team Passing'!$I12-VLOOKUP('CURRENT WEEK'!$C12,'Team Passing Def'!$A$2:$I$33,9,FALSE))/-31,"")</f>
        <v>0.5161290322580645</v>
      </c>
      <c r="E12" s="17">
        <f>IFERROR(('Team Passing'!$G12-VLOOKUP('CURRENT WEEK'!$C12,'Team Passing Def'!$A$2:$G$33,7,FALSE))/-31,"")</f>
        <v>0.19354838709677419</v>
      </c>
      <c r="F12" s="22">
        <f>IFERROR(('Team Passing'!$D12-VLOOKUP('CURRENT WEEK'!$C12,'Team Passing Def'!$A$2:$D$33,4,FALSE))/-31,"")</f>
        <v>-0.25806451612903225</v>
      </c>
      <c r="G12" s="20">
        <f>IFERROR(('Team Rushing'!$I12-VLOOKUP('CURRENT WEEK'!$C12,'Team Rushing Def'!$A$2:$I$33,9,FALSE))/-31,"")</f>
        <v>3.2258064516129031E-2</v>
      </c>
      <c r="H12" s="22">
        <f>IFERROR(('Team Rushing'!$D12-VLOOKUP('CURRENT WEEK'!$C12,'Team Rushing Def'!$A$2:$D$33,4,FALSE))/-31,"")</f>
        <v>0.22580645161290322</v>
      </c>
      <c r="I12" s="20">
        <f>IFERROR(('Team Passing'!$O12-VLOOKUP('CURRENT WEEK'!$C12,'Team Passing Def'!$A$2:$O$33,13,FALSE))/-31,"")</f>
        <v>-3.2258064516129031E-2</v>
      </c>
      <c r="J12" s="22">
        <f>IFERROR(('Team Rushing'!$L12-VLOOKUP('CURRENT WEEK'!$C12,'Team Rushing Def'!$A$2:$L$33,12,FALSE))/-31,"")</f>
        <v>0.64516129032258063</v>
      </c>
      <c r="K12" s="22">
        <f>IF(ISBLANK(C12),"",('Team Passing'!C12+'Team Rushing'!C12+VLOOKUP('CURRENT WEEK'!C12,'Team Passing'!$A$2:$C$33,3,FALSE)+VLOOKUP('CURRENT WEEK'!C12,'Team Rushing'!$A$2:$C$33,3,FALSE))/2)</f>
        <v>60.701388888888886</v>
      </c>
      <c r="L12" s="24" t="s">
        <v>227</v>
      </c>
      <c r="M12" s="27">
        <v>47.5</v>
      </c>
      <c r="N12" s="18" t="str">
        <f t="shared" si="0"/>
        <v/>
      </c>
      <c r="O12" s="18" t="str">
        <f t="shared" si="1"/>
        <v/>
      </c>
      <c r="P12" s="16"/>
      <c r="Q12" s="16"/>
      <c r="R12" s="16"/>
      <c r="S12" s="16"/>
      <c r="T12" s="16"/>
      <c r="U12" s="16"/>
      <c r="V12" s="16"/>
      <c r="W12" s="35"/>
    </row>
    <row r="13" spans="1:23" x14ac:dyDescent="0.2">
      <c r="A13" s="16" t="s">
        <v>35</v>
      </c>
      <c r="B13" s="36">
        <v>8</v>
      </c>
      <c r="C13" s="23" t="s">
        <v>39</v>
      </c>
      <c r="D13" s="20">
        <f>IFERROR(('Team Passing'!$I13-VLOOKUP('CURRENT WEEK'!$C13,'Team Passing Def'!$A$2:$I$33,9,FALSE))/-31,"")</f>
        <v>0.29032258064516131</v>
      </c>
      <c r="E13" s="17">
        <f>IFERROR(('Team Passing'!$G13-VLOOKUP('CURRENT WEEK'!$C13,'Team Passing Def'!$A$2:$G$33,7,FALSE))/-31,"")</f>
        <v>0.58064516129032262</v>
      </c>
      <c r="F13" s="22">
        <f>IFERROR(('Team Passing'!$D13-VLOOKUP('CURRENT WEEK'!$C13,'Team Passing Def'!$A$2:$D$33,4,FALSE))/-31,"")</f>
        <v>0.12903225806451613</v>
      </c>
      <c r="G13" s="20">
        <f>IFERROR(('Team Rushing'!$I13-VLOOKUP('CURRENT WEEK'!$C13,'Team Rushing Def'!$A$2:$I$33,9,FALSE))/-31,"")</f>
        <v>0.45161290322580644</v>
      </c>
      <c r="H13" s="22">
        <f>IFERROR(('Team Rushing'!$D13-VLOOKUP('CURRENT WEEK'!$C13,'Team Rushing Def'!$A$2:$D$33,4,FALSE))/-31,"")</f>
        <v>0.5161290322580645</v>
      </c>
      <c r="I13" s="20">
        <f>IFERROR(('Team Passing'!$O13-VLOOKUP('CURRENT WEEK'!$C13,'Team Passing Def'!$A$2:$O$33,13,FALSE))/-31,"")</f>
        <v>0.45161290322580644</v>
      </c>
      <c r="J13" s="22">
        <f>IFERROR(('Team Rushing'!$L13-VLOOKUP('CURRENT WEEK'!$C13,'Team Rushing Def'!$A$2:$L$33,12,FALSE))/-31,"")</f>
        <v>-0.29032258064516131</v>
      </c>
      <c r="K13" s="22">
        <f>IF(ISBLANK(C13),"",('Team Passing'!C13+'Team Rushing'!C13+VLOOKUP('CURRENT WEEK'!C13,'Team Passing'!$A$2:$C$33,3,FALSE)+VLOOKUP('CURRENT WEEK'!C13,'Team Rushing'!$A$2:$C$33,3,FALSE))/2)</f>
        <v>64.0625</v>
      </c>
      <c r="L13" s="24" t="s">
        <v>247</v>
      </c>
      <c r="M13" s="27">
        <v>55</v>
      </c>
      <c r="N13" s="18" t="str">
        <f t="shared" si="0"/>
        <v/>
      </c>
      <c r="O13" s="18" t="str">
        <f t="shared" si="1"/>
        <v/>
      </c>
      <c r="P13" s="16"/>
      <c r="Q13" s="16"/>
      <c r="R13" s="16"/>
      <c r="S13" s="16"/>
      <c r="T13" s="16"/>
      <c r="U13" s="16"/>
      <c r="V13" s="16"/>
      <c r="W13" s="35"/>
    </row>
    <row r="14" spans="1:23" x14ac:dyDescent="0.2">
      <c r="A14" s="16" t="s">
        <v>37</v>
      </c>
      <c r="B14" s="36">
        <v>9</v>
      </c>
      <c r="C14" s="23" t="s">
        <v>54</v>
      </c>
      <c r="D14" s="20">
        <f>IFERROR(('Team Passing'!$I14-VLOOKUP('CURRENT WEEK'!$C14,'Team Passing Def'!$A$2:$I$33,9,FALSE))/-31,"")</f>
        <v>-0.12903225806451613</v>
      </c>
      <c r="E14" s="17">
        <f>IFERROR(('Team Passing'!$G14-VLOOKUP('CURRENT WEEK'!$C14,'Team Passing Def'!$A$2:$G$33,7,FALSE))/-31,"")</f>
        <v>-0.45161290322580644</v>
      </c>
      <c r="F14" s="22">
        <f>IFERROR(('Team Passing'!$D14-VLOOKUP('CURRENT WEEK'!$C14,'Team Passing Def'!$A$2:$D$33,4,FALSE))/-31,"")</f>
        <v>0.58064516129032262</v>
      </c>
      <c r="G14" s="20">
        <f>IFERROR(('Team Rushing'!$I14-VLOOKUP('CURRENT WEEK'!$C14,'Team Rushing Def'!$A$2:$I$33,9,FALSE))/-31,"")</f>
        <v>-0.41935483870967744</v>
      </c>
      <c r="H14" s="22">
        <f>IFERROR(('Team Rushing'!$D14-VLOOKUP('CURRENT WEEK'!$C14,'Team Rushing Def'!$A$2:$D$33,4,FALSE))/-31,"")</f>
        <v>-0.93548387096774188</v>
      </c>
      <c r="I14" s="20">
        <f>IFERROR(('Team Passing'!$O14-VLOOKUP('CURRENT WEEK'!$C14,'Team Passing Def'!$A$2:$O$33,13,FALSE))/-31,"")</f>
        <v>-0.22580645161290322</v>
      </c>
      <c r="J14" s="22">
        <f>IFERROR(('Team Rushing'!$L14-VLOOKUP('CURRENT WEEK'!$C14,'Team Rushing Def'!$A$2:$L$33,12,FALSE))/-31,"")</f>
        <v>-6.4516129032258063E-2</v>
      </c>
      <c r="K14" s="22">
        <f>IF(ISBLANK(C14),"",('Team Passing'!C14+'Team Rushing'!C14+VLOOKUP('CURRENT WEEK'!C14,'Team Passing'!$A$2:$C$33,3,FALSE)+VLOOKUP('CURRENT WEEK'!C14,'Team Rushing'!$A$2:$C$33,3,FALSE))/2)</f>
        <v>64.111111111111114</v>
      </c>
      <c r="L14" s="24" t="s">
        <v>157</v>
      </c>
      <c r="M14" s="27">
        <v>46.5</v>
      </c>
      <c r="N14" s="18" t="str">
        <f t="shared" si="0"/>
        <v/>
      </c>
      <c r="O14" s="18" t="str">
        <f t="shared" si="1"/>
        <v/>
      </c>
      <c r="P14" s="16"/>
      <c r="Q14" s="16"/>
      <c r="R14" s="16"/>
      <c r="S14" s="16"/>
      <c r="T14" s="16"/>
      <c r="U14" s="16"/>
      <c r="V14" s="16"/>
      <c r="W14" s="35"/>
    </row>
    <row r="15" spans="1:23" x14ac:dyDescent="0.2">
      <c r="A15" s="16" t="s">
        <v>38</v>
      </c>
      <c r="B15" s="36">
        <v>9</v>
      </c>
      <c r="C15" s="23" t="s">
        <v>22</v>
      </c>
      <c r="D15" s="20">
        <f>IFERROR(('Team Passing'!$I15-VLOOKUP('CURRENT WEEK'!$C15,'Team Passing Def'!$A$2:$I$33,9,FALSE))/-31,"")</f>
        <v>-0.16129032258064516</v>
      </c>
      <c r="E15" s="17">
        <f>IFERROR(('Team Passing'!$G15-VLOOKUP('CURRENT WEEK'!$C15,'Team Passing Def'!$A$2:$G$33,7,FALSE))/-31,"")</f>
        <v>-0.90322580645161288</v>
      </c>
      <c r="F15" s="22">
        <f>IFERROR(('Team Passing'!$D15-VLOOKUP('CURRENT WEEK'!$C15,'Team Passing Def'!$A$2:$D$33,4,FALSE))/-31,"")</f>
        <v>-0.61290322580645162</v>
      </c>
      <c r="G15" s="20">
        <f>IFERROR(('Team Rushing'!$I15-VLOOKUP('CURRENT WEEK'!$C15,'Team Rushing Def'!$A$2:$I$33,9,FALSE))/-31,"")</f>
        <v>0.22580645161290322</v>
      </c>
      <c r="H15" s="22">
        <f>IFERROR(('Team Rushing'!$D15-VLOOKUP('CURRENT WEEK'!$C15,'Team Rushing Def'!$A$2:$D$33,4,FALSE))/-31,"")</f>
        <v>-3.2258064516129031E-2</v>
      </c>
      <c r="I15" s="20">
        <f>IFERROR(('Team Passing'!$O15-VLOOKUP('CURRENT WEEK'!$C15,'Team Passing Def'!$A$2:$O$33,13,FALSE))/-31,"")</f>
        <v>-0.41935483870967744</v>
      </c>
      <c r="J15" s="22">
        <f>IFERROR(('Team Rushing'!$L15-VLOOKUP('CURRENT WEEK'!$C15,'Team Rushing Def'!$A$2:$L$33,12,FALSE))/-31,"")</f>
        <v>9.6774193548387094E-2</v>
      </c>
      <c r="K15" s="22">
        <f>IF(ISBLANK(C15),"",('Team Passing'!C15+'Team Rushing'!C15+VLOOKUP('CURRENT WEEK'!C15,'Team Passing'!$A$2:$C$33,3,FALSE)+VLOOKUP('CURRENT WEEK'!C15,'Team Rushing'!$A$2:$C$33,3,FALSE))/2)</f>
        <v>58.888888888888893</v>
      </c>
      <c r="L15" s="24" t="s">
        <v>86</v>
      </c>
      <c r="M15" s="27">
        <v>44</v>
      </c>
      <c r="N15" s="18" t="str">
        <f t="shared" si="0"/>
        <v/>
      </c>
      <c r="O15" s="18" t="str">
        <f t="shared" si="1"/>
        <v/>
      </c>
      <c r="P15" s="16"/>
      <c r="Q15" s="16"/>
      <c r="R15" s="16"/>
      <c r="S15" s="16"/>
      <c r="T15" s="16"/>
      <c r="U15" s="16"/>
      <c r="V15" s="16"/>
      <c r="W15" s="35"/>
    </row>
    <row r="16" spans="1:23" x14ac:dyDescent="0.2">
      <c r="A16" s="16" t="s">
        <v>39</v>
      </c>
      <c r="B16" s="36">
        <v>8</v>
      </c>
      <c r="C16" s="23" t="s">
        <v>35</v>
      </c>
      <c r="D16" s="20">
        <f>IFERROR(('Team Passing'!$I16-VLOOKUP('CURRENT WEEK'!$C16,'Team Passing Def'!$A$2:$I$33,9,FALSE))/-31,"")</f>
        <v>0.12903225806451613</v>
      </c>
      <c r="E16" s="17">
        <f>IFERROR(('Team Passing'!$G16-VLOOKUP('CURRENT WEEK'!$C16,'Team Passing Def'!$A$2:$G$33,7,FALSE))/-31,"")</f>
        <v>0.41935483870967744</v>
      </c>
      <c r="F16" s="22">
        <f>IFERROR(('Team Passing'!$D16-VLOOKUP('CURRENT WEEK'!$C16,'Team Passing Def'!$A$2:$D$33,4,FALSE))/-31,"")</f>
        <v>0.41935483870967744</v>
      </c>
      <c r="G16" s="20">
        <f>IFERROR(('Team Rushing'!$I16-VLOOKUP('CURRENT WEEK'!$C16,'Team Rushing Def'!$A$2:$I$33,9,FALSE))/-31,"")</f>
        <v>-0.41935483870967744</v>
      </c>
      <c r="H16" s="22">
        <f>IFERROR(('Team Rushing'!$D16-VLOOKUP('CURRENT WEEK'!$C16,'Team Rushing Def'!$A$2:$D$33,4,FALSE))/-31,"")</f>
        <v>-0.58064516129032262</v>
      </c>
      <c r="I16" s="20">
        <f>IFERROR(('Team Passing'!$O16-VLOOKUP('CURRENT WEEK'!$C16,'Team Passing Def'!$A$2:$O$33,13,FALSE))/-31,"")</f>
        <v>3.2258064516129031E-2</v>
      </c>
      <c r="J16" s="22">
        <f>IFERROR(('Team Rushing'!$L16-VLOOKUP('CURRENT WEEK'!$C16,'Team Rushing Def'!$A$2:$L$33,12,FALSE))/-31,"")</f>
        <v>-0.58064516129032262</v>
      </c>
      <c r="K16" s="22">
        <f>IF(ISBLANK(C16),"",('Team Passing'!C16+'Team Rushing'!C16+VLOOKUP('CURRENT WEEK'!C16,'Team Passing'!$A$2:$C$33,3,FALSE)+VLOOKUP('CURRENT WEEK'!C16,'Team Rushing'!$A$2:$C$33,3,FALSE))/2)</f>
        <v>64.0625</v>
      </c>
      <c r="L16" s="24" t="s">
        <v>248</v>
      </c>
      <c r="M16" s="27">
        <v>55</v>
      </c>
      <c r="N16" s="18" t="str">
        <f t="shared" si="0"/>
        <v/>
      </c>
      <c r="O16" s="18" t="str">
        <f t="shared" si="1"/>
        <v/>
      </c>
      <c r="P16" s="16"/>
      <c r="Q16" s="16"/>
      <c r="R16" s="16"/>
      <c r="S16" s="16"/>
      <c r="T16" s="16"/>
      <c r="U16" s="16"/>
      <c r="V16" s="16"/>
      <c r="W16" s="35"/>
    </row>
    <row r="17" spans="1:23" x14ac:dyDescent="0.2">
      <c r="A17" s="16" t="s">
        <v>40</v>
      </c>
      <c r="B17" s="36">
        <v>8</v>
      </c>
      <c r="C17" s="23" t="s">
        <v>25</v>
      </c>
      <c r="D17" s="20">
        <f>IFERROR(('Team Passing'!$I17-VLOOKUP('CURRENT WEEK'!$C17,'Team Passing Def'!$A$2:$I$33,9,FALSE))/-31,"")</f>
        <v>-0.54838709677419351</v>
      </c>
      <c r="E17" s="17">
        <f>IFERROR(('Team Passing'!$G17-VLOOKUP('CURRENT WEEK'!$C17,'Team Passing Def'!$A$2:$G$33,7,FALSE))/-31,"")</f>
        <v>9.6774193548387094E-2</v>
      </c>
      <c r="F17" s="22">
        <f>IFERROR(('Team Passing'!$D17-VLOOKUP('CURRENT WEEK'!$C17,'Team Passing Def'!$A$2:$D$33,4,FALSE))/-31,"")</f>
        <v>0.41935483870967744</v>
      </c>
      <c r="G17" s="20">
        <f>IFERROR(('Team Rushing'!$I17-VLOOKUP('CURRENT WEEK'!$C17,'Team Rushing Def'!$A$2:$I$33,9,FALSE))/-31,"")</f>
        <v>-0.16129032258064516</v>
      </c>
      <c r="H17" s="22">
        <f>IFERROR(('Team Rushing'!$D17-VLOOKUP('CURRENT WEEK'!$C17,'Team Rushing Def'!$A$2:$D$33,4,FALSE))/-31,"")</f>
        <v>-0.45161290322580644</v>
      </c>
      <c r="I17" s="20">
        <f>IFERROR(('Team Passing'!$O17-VLOOKUP('CURRENT WEEK'!$C17,'Team Passing Def'!$A$2:$O$33,13,FALSE))/-31,"")</f>
        <v>-9.6774193548387094E-2</v>
      </c>
      <c r="J17" s="22">
        <f>IFERROR(('Team Rushing'!$L17-VLOOKUP('CURRENT WEEK'!$C17,'Team Rushing Def'!$A$2:$L$33,12,FALSE))/-31,"")</f>
        <v>-0.74193548387096775</v>
      </c>
      <c r="K17" s="22">
        <f>IF(ISBLANK(C17),"",('Team Passing'!C17+'Team Rushing'!C17+VLOOKUP('CURRENT WEEK'!C17,'Team Passing'!$A$2:$C$33,3,FALSE)+VLOOKUP('CURRENT WEEK'!C17,'Team Rushing'!$A$2:$C$33,3,FALSE))/2)</f>
        <v>63.5</v>
      </c>
      <c r="L17" s="24" t="s">
        <v>89</v>
      </c>
      <c r="M17" s="27">
        <v>51.5</v>
      </c>
      <c r="N17" s="18" t="str">
        <f t="shared" si="0"/>
        <v/>
      </c>
      <c r="O17" s="18" t="str">
        <f t="shared" si="1"/>
        <v/>
      </c>
      <c r="P17" s="16"/>
      <c r="Q17" s="16"/>
      <c r="R17" s="16"/>
      <c r="S17" s="16"/>
      <c r="T17" s="16"/>
      <c r="U17" s="16"/>
      <c r="V17" s="16"/>
      <c r="W17" s="35"/>
    </row>
    <row r="18" spans="1:23" x14ac:dyDescent="0.2">
      <c r="A18" s="16" t="s">
        <v>42</v>
      </c>
      <c r="B18" s="36">
        <v>9</v>
      </c>
      <c r="C18" s="23"/>
      <c r="D18" s="20" t="str">
        <f>IFERROR(('Team Passing'!$I18-VLOOKUP('CURRENT WEEK'!$C18,'Team Passing Def'!$A$2:$I$33,9,FALSE))/-31,"")</f>
        <v/>
      </c>
      <c r="E18" s="17" t="str">
        <f>IFERROR(('Team Passing'!$G18-VLOOKUP('CURRENT WEEK'!$C18,'Team Passing Def'!$A$2:$G$33,7,FALSE))/-31,"")</f>
        <v/>
      </c>
      <c r="F18" s="22" t="str">
        <f>IFERROR(('Team Passing'!$D18-VLOOKUP('CURRENT WEEK'!$C18,'Team Passing Def'!$A$2:$D$33,4,FALSE))/-31,"")</f>
        <v/>
      </c>
      <c r="G18" s="20" t="str">
        <f>IFERROR(('Team Rushing'!$I18-VLOOKUP('CURRENT WEEK'!$C18,'Team Rushing Def'!$A$2:$I$33,9,FALSE))/-31,"")</f>
        <v/>
      </c>
      <c r="H18" s="22" t="str">
        <f>IFERROR(('Team Rushing'!$D18-VLOOKUP('CURRENT WEEK'!$C18,'Team Rushing Def'!$A$2:$D$33,4,FALSE))/-31,"")</f>
        <v/>
      </c>
      <c r="I18" s="20" t="str">
        <f>IFERROR(('Team Passing'!$O18-VLOOKUP('CURRENT WEEK'!$C18,'Team Passing Def'!$A$2:$O$33,13,FALSE))/-31,"")</f>
        <v/>
      </c>
      <c r="J18" s="22" t="str">
        <f>IFERROR(('Team Rushing'!$L18-VLOOKUP('CURRENT WEEK'!$C18,'Team Rushing Def'!$A$2:$L$33,12,FALSE))/-31,"")</f>
        <v/>
      </c>
      <c r="K18" s="22" t="str">
        <f>IF(ISBLANK(C18),"",('Team Passing'!C18+'Team Rushing'!C18+VLOOKUP('CURRENT WEEK'!C18,'Team Passing'!$A$2:$C$33,3,FALSE)+VLOOKUP('CURRENT WEEK'!C18,'Team Rushing'!$A$2:$C$33,3,FALSE))/2)</f>
        <v/>
      </c>
      <c r="L18" s="24"/>
      <c r="M18" s="27"/>
      <c r="N18" s="18" t="str">
        <f t="shared" si="0"/>
        <v/>
      </c>
      <c r="O18" s="18" t="str">
        <f t="shared" si="1"/>
        <v/>
      </c>
      <c r="P18" s="16"/>
      <c r="Q18" s="16"/>
      <c r="R18" s="16"/>
      <c r="S18" s="16"/>
      <c r="T18" s="16"/>
      <c r="U18" s="16"/>
      <c r="V18" s="16"/>
      <c r="W18" s="35"/>
    </row>
    <row r="19" spans="1:23" x14ac:dyDescent="0.2">
      <c r="A19" s="16" t="s">
        <v>44</v>
      </c>
      <c r="B19" s="36">
        <v>8</v>
      </c>
      <c r="C19" s="23" t="s">
        <v>33</v>
      </c>
      <c r="D19" s="20">
        <f>IFERROR(('Team Passing'!$I19-VLOOKUP('CURRENT WEEK'!$C19,'Team Passing Def'!$A$2:$I$33,9,FALSE))/-31,"")</f>
        <v>-0.16129032258064516</v>
      </c>
      <c r="E19" s="17">
        <f>IFERROR(('Team Passing'!$G19-VLOOKUP('CURRENT WEEK'!$C19,'Team Passing Def'!$A$2:$G$33,7,FALSE))/-31,"")</f>
        <v>0</v>
      </c>
      <c r="F19" s="22">
        <f>IFERROR(('Team Passing'!$D19-VLOOKUP('CURRENT WEEK'!$C19,'Team Passing Def'!$A$2:$D$33,4,FALSE))/-31,"")</f>
        <v>6.4516129032258063E-2</v>
      </c>
      <c r="G19" s="20">
        <f>IFERROR(('Team Rushing'!$I19-VLOOKUP('CURRENT WEEK'!$C19,'Team Rushing Def'!$A$2:$I$33,9,FALSE))/-31,"")</f>
        <v>6.4516129032258063E-2</v>
      </c>
      <c r="H19" s="22">
        <f>IFERROR(('Team Rushing'!$D19-VLOOKUP('CURRENT WEEK'!$C19,'Team Rushing Def'!$A$2:$D$33,4,FALSE))/-31,"")</f>
        <v>-0.22580645161290322</v>
      </c>
      <c r="I19" s="20">
        <f>IFERROR(('Team Passing'!$O19-VLOOKUP('CURRENT WEEK'!$C19,'Team Passing Def'!$A$2:$O$33,13,FALSE))/-31,"")</f>
        <v>-0.12903225806451613</v>
      </c>
      <c r="J19" s="22">
        <f>IFERROR(('Team Rushing'!$L19-VLOOKUP('CURRENT WEEK'!$C19,'Team Rushing Def'!$A$2:$L$33,12,FALSE))/-31,"")</f>
        <v>-0.41935483870967744</v>
      </c>
      <c r="K19" s="22">
        <f>IF(ISBLANK(C19),"",('Team Passing'!C19+'Team Rushing'!C19+VLOOKUP('CURRENT WEEK'!C19,'Team Passing'!$A$2:$C$33,3,FALSE)+VLOOKUP('CURRENT WEEK'!C19,'Team Rushing'!$A$2:$C$33,3,FALSE))/2)</f>
        <v>60.701388888888886</v>
      </c>
      <c r="L19" s="24" t="s">
        <v>229</v>
      </c>
      <c r="M19" s="27">
        <v>47.5</v>
      </c>
      <c r="N19" s="18" t="str">
        <f t="shared" si="0"/>
        <v/>
      </c>
      <c r="O19" s="18" t="str">
        <f t="shared" si="1"/>
        <v/>
      </c>
      <c r="P19" s="16"/>
      <c r="Q19" s="16"/>
      <c r="R19" s="16"/>
      <c r="S19" s="16"/>
      <c r="T19" s="16"/>
      <c r="U19" s="16"/>
      <c r="V19" s="16"/>
      <c r="W19" s="35"/>
    </row>
    <row r="20" spans="1:23" x14ac:dyDescent="0.2">
      <c r="A20" s="16" t="s">
        <v>45</v>
      </c>
      <c r="B20" s="36">
        <v>8</v>
      </c>
      <c r="C20" s="23" t="s">
        <v>21</v>
      </c>
      <c r="D20" s="20">
        <f>IFERROR(('Team Passing'!$I20-VLOOKUP('CURRENT WEEK'!$C20,'Team Passing Def'!$A$2:$I$33,9,FALSE))/-31,"")</f>
        <v>-0.64516129032258063</v>
      </c>
      <c r="E20" s="17">
        <f>IFERROR(('Team Passing'!$G20-VLOOKUP('CURRENT WEEK'!$C20,'Team Passing Def'!$A$2:$G$33,7,FALSE))/-31,"")</f>
        <v>-0.80645161290322576</v>
      </c>
      <c r="F20" s="22">
        <f>IFERROR(('Team Passing'!$D20-VLOOKUP('CURRENT WEEK'!$C20,'Team Passing Def'!$A$2:$D$33,4,FALSE))/-31,"")</f>
        <v>6.4516129032258063E-2</v>
      </c>
      <c r="G20" s="20">
        <f>IFERROR(('Team Rushing'!$I20-VLOOKUP('CURRENT WEEK'!$C20,'Team Rushing Def'!$A$2:$I$33,9,FALSE))/-31,"")</f>
        <v>-0.77419354838709675</v>
      </c>
      <c r="H20" s="22">
        <f>IFERROR(('Team Rushing'!$D20-VLOOKUP('CURRENT WEEK'!$C20,'Team Rushing Def'!$A$2:$D$33,4,FALSE))/-31,"")</f>
        <v>-0.93548387096774188</v>
      </c>
      <c r="I20" s="20">
        <f>IFERROR(('Team Passing'!$O20-VLOOKUP('CURRENT WEEK'!$C20,'Team Passing Def'!$A$2:$O$33,13,FALSE))/-31,"")</f>
        <v>-0.41935483870967744</v>
      </c>
      <c r="J20" s="22">
        <f>IFERROR(('Team Rushing'!$L20-VLOOKUP('CURRENT WEEK'!$C20,'Team Rushing Def'!$A$2:$L$33,12,FALSE))/-31,"")</f>
        <v>-0.58064516129032262</v>
      </c>
      <c r="K20" s="22">
        <f>IF(ISBLANK(C20),"",('Team Passing'!C20+'Team Rushing'!C20+VLOOKUP('CURRENT WEEK'!C20,'Team Passing'!$A$2:$C$33,3,FALSE)+VLOOKUP('CURRENT WEEK'!C20,'Team Rushing'!$A$2:$C$33,3,FALSE))/2)</f>
        <v>63.8125</v>
      </c>
      <c r="L20" s="24" t="s">
        <v>246</v>
      </c>
      <c r="M20" s="27">
        <v>47.5</v>
      </c>
      <c r="N20" s="18" t="str">
        <f t="shared" si="0"/>
        <v/>
      </c>
      <c r="O20" s="18" t="str">
        <f t="shared" si="1"/>
        <v/>
      </c>
      <c r="P20" s="16"/>
      <c r="Q20" s="16"/>
      <c r="R20" s="16"/>
      <c r="S20" s="16"/>
      <c r="T20" s="16"/>
      <c r="U20" s="16"/>
      <c r="V20" s="16"/>
      <c r="W20" s="35"/>
    </row>
    <row r="21" spans="1:23" x14ac:dyDescent="0.2">
      <c r="A21" s="16" t="s">
        <v>46</v>
      </c>
      <c r="B21" s="36">
        <v>8</v>
      </c>
      <c r="C21" s="23" t="s">
        <v>58</v>
      </c>
      <c r="D21" s="20">
        <f>IFERROR(('Team Passing'!$I21-VLOOKUP('CURRENT WEEK'!$C21,'Team Passing Def'!$A$2:$I$33,9,FALSE))/-31,"")</f>
        <v>-0.25806451612903225</v>
      </c>
      <c r="E21" s="17">
        <f>IFERROR(('Team Passing'!$G21-VLOOKUP('CURRENT WEEK'!$C21,'Team Passing Def'!$A$2:$G$33,7,FALSE))/-31,"")</f>
        <v>3.2258064516129031E-2</v>
      </c>
      <c r="F21" s="22">
        <f>IFERROR(('Team Passing'!$D21-VLOOKUP('CURRENT WEEK'!$C21,'Team Passing Def'!$A$2:$D$33,4,FALSE))/-31,"")</f>
        <v>6.4516129032258063E-2</v>
      </c>
      <c r="G21" s="20">
        <f>IFERROR(('Team Rushing'!$I21-VLOOKUP('CURRENT WEEK'!$C21,'Team Rushing Def'!$A$2:$I$33,9,FALSE))/-31,"")</f>
        <v>0</v>
      </c>
      <c r="H21" s="22">
        <f>IFERROR(('Team Rushing'!$D21-VLOOKUP('CURRENT WEEK'!$C21,'Team Rushing Def'!$A$2:$D$33,4,FALSE))/-31,"")</f>
        <v>-0.4838709677419355</v>
      </c>
      <c r="I21" s="20">
        <f>IFERROR(('Team Passing'!$O21-VLOOKUP('CURRENT WEEK'!$C21,'Team Passing Def'!$A$2:$O$33,13,FALSE))/-31,"")</f>
        <v>-0.4838709677419355</v>
      </c>
      <c r="J21" s="22">
        <f>IFERROR(('Team Rushing'!$L21-VLOOKUP('CURRENT WEEK'!$C21,'Team Rushing Def'!$A$2:$L$33,12,FALSE))/-31,"")</f>
        <v>-0.58064516129032262</v>
      </c>
      <c r="K21" s="22">
        <f>IF(ISBLANK(C21),"",('Team Passing'!C21+'Team Rushing'!C21+VLOOKUP('CURRENT WEEK'!C21,'Team Passing'!$A$2:$C$33,3,FALSE)+VLOOKUP('CURRENT WEEK'!C21,'Team Rushing'!$A$2:$C$33,3,FALSE))/2)</f>
        <v>61.75</v>
      </c>
      <c r="L21" s="24" t="s">
        <v>96</v>
      </c>
      <c r="M21" s="27">
        <v>42</v>
      </c>
      <c r="N21" s="18" t="str">
        <f t="shared" si="0"/>
        <v/>
      </c>
      <c r="O21" s="18" t="str">
        <f t="shared" si="1"/>
        <v/>
      </c>
      <c r="P21" s="16"/>
      <c r="Q21" s="16"/>
      <c r="R21" s="16"/>
      <c r="S21" s="16"/>
      <c r="T21" s="16"/>
      <c r="U21" s="16"/>
      <c r="V21" s="16"/>
      <c r="W21" s="35"/>
    </row>
    <row r="22" spans="1:23" x14ac:dyDescent="0.2">
      <c r="A22" s="16" t="s">
        <v>47</v>
      </c>
      <c r="B22" s="36">
        <v>9</v>
      </c>
      <c r="C22" s="23" t="s">
        <v>56</v>
      </c>
      <c r="D22" s="20">
        <f>IFERROR(('Team Passing'!$I22-VLOOKUP('CURRENT WEEK'!$C22,'Team Passing Def'!$A$2:$I$33,9,FALSE))/-31,"")</f>
        <v>-0.12903225806451613</v>
      </c>
      <c r="E22" s="17">
        <f>IFERROR(('Team Passing'!$G22-VLOOKUP('CURRENT WEEK'!$C22,'Team Passing Def'!$A$2:$G$33,7,FALSE))/-31,"")</f>
        <v>0</v>
      </c>
      <c r="F22" s="22">
        <f>IFERROR(('Team Passing'!$D22-VLOOKUP('CURRENT WEEK'!$C22,'Team Passing Def'!$A$2:$D$33,4,FALSE))/-31,"")</f>
        <v>0.29032258064516131</v>
      </c>
      <c r="G22" s="20">
        <f>IFERROR(('Team Rushing'!$I22-VLOOKUP('CURRENT WEEK'!$C22,'Team Rushing Def'!$A$2:$I$33,9,FALSE))/-31,"")</f>
        <v>-0.16129032258064516</v>
      </c>
      <c r="H22" s="22">
        <f>IFERROR(('Team Rushing'!$D22-VLOOKUP('CURRENT WEEK'!$C22,'Team Rushing Def'!$A$2:$D$33,4,FALSE))/-31,"")</f>
        <v>0.45161290322580644</v>
      </c>
      <c r="I22" s="20">
        <f>IFERROR(('Team Passing'!$O22-VLOOKUP('CURRENT WEEK'!$C22,'Team Passing Def'!$A$2:$O$33,13,FALSE))/-31,"")</f>
        <v>9.6774193548387094E-2</v>
      </c>
      <c r="J22" s="22">
        <f>IFERROR(('Team Rushing'!$L22-VLOOKUP('CURRENT WEEK'!$C22,'Team Rushing Def'!$A$2:$L$33,12,FALSE))/-31,"")</f>
        <v>-0.64516129032258063</v>
      </c>
      <c r="K22" s="22">
        <f>IF(ISBLANK(C22),"",('Team Passing'!C22+'Team Rushing'!C22+VLOOKUP('CURRENT WEEK'!C22,'Team Passing'!$A$2:$C$33,3,FALSE)+VLOOKUP('CURRENT WEEK'!C22,'Team Rushing'!$A$2:$C$33,3,FALSE))/2)</f>
        <v>55.444444444444443</v>
      </c>
      <c r="L22" s="24" t="s">
        <v>81</v>
      </c>
      <c r="M22" s="27">
        <v>49.5</v>
      </c>
      <c r="N22" s="18" t="str">
        <f t="shared" si="0"/>
        <v/>
      </c>
      <c r="O22" s="18" t="str">
        <f t="shared" si="1"/>
        <v/>
      </c>
      <c r="P22" s="16"/>
      <c r="Q22" s="16"/>
      <c r="R22" s="16"/>
      <c r="S22" s="16"/>
      <c r="T22" s="16"/>
      <c r="U22" s="16"/>
      <c r="V22" s="16"/>
      <c r="W22" s="35"/>
    </row>
    <row r="23" spans="1:23" x14ac:dyDescent="0.2">
      <c r="A23" s="16" t="s">
        <v>48</v>
      </c>
      <c r="B23" s="36">
        <v>9</v>
      </c>
      <c r="C23" s="23" t="s">
        <v>27</v>
      </c>
      <c r="D23" s="20">
        <f>IFERROR(('Team Passing'!$I23-VLOOKUP('CURRENT WEEK'!$C23,'Team Passing Def'!$A$2:$I$33,9,FALSE))/-31,"")</f>
        <v>-0.87096774193548387</v>
      </c>
      <c r="E23" s="17">
        <f>IFERROR(('Team Passing'!$G23-VLOOKUP('CURRENT WEEK'!$C23,'Team Passing Def'!$A$2:$G$33,7,FALSE))/-31,"")</f>
        <v>-0.74193548387096775</v>
      </c>
      <c r="F23" s="22">
        <f>IFERROR(('Team Passing'!$D23-VLOOKUP('CURRENT WEEK'!$C23,'Team Passing Def'!$A$2:$D$33,4,FALSE))/-31,"")</f>
        <v>3.2258064516129031E-2</v>
      </c>
      <c r="G23" s="20">
        <f>IFERROR(('Team Rushing'!$I23-VLOOKUP('CURRENT WEEK'!$C23,'Team Rushing Def'!$A$2:$I$33,9,FALSE))/-31,"")</f>
        <v>0.16129032258064516</v>
      </c>
      <c r="H23" s="22">
        <f>IFERROR(('Team Rushing'!$D23-VLOOKUP('CURRENT WEEK'!$C23,'Team Rushing Def'!$A$2:$D$33,4,FALSE))/-31,"")</f>
        <v>-9.6774193548387094E-2</v>
      </c>
      <c r="I23" s="20">
        <f>IFERROR(('Team Passing'!$O23-VLOOKUP('CURRENT WEEK'!$C23,'Team Passing Def'!$A$2:$O$33,13,FALSE))/-31,"")</f>
        <v>-0.58064516129032262</v>
      </c>
      <c r="J23" s="22">
        <f>IFERROR(('Team Rushing'!$L23-VLOOKUP('CURRENT WEEK'!$C23,'Team Rushing Def'!$A$2:$L$33,12,FALSE))/-31,"")</f>
        <v>-0.22580645161290322</v>
      </c>
      <c r="K23" s="22">
        <f>IF(ISBLANK(C23),"",('Team Passing'!C23+'Team Rushing'!C23+VLOOKUP('CURRENT WEEK'!C23,'Team Passing'!$A$2:$C$33,3,FALSE)+VLOOKUP('CURRENT WEEK'!C23,'Team Rushing'!$A$2:$C$33,3,FALSE))/2)</f>
        <v>63.611111111111114</v>
      </c>
      <c r="L23" s="24" t="s">
        <v>89</v>
      </c>
      <c r="M23" s="27">
        <v>44</v>
      </c>
      <c r="N23" s="18" t="str">
        <f t="shared" si="0"/>
        <v/>
      </c>
      <c r="O23" s="18" t="str">
        <f t="shared" si="1"/>
        <v/>
      </c>
      <c r="P23" s="16"/>
      <c r="Q23" s="16"/>
      <c r="R23" s="16"/>
      <c r="S23" s="16"/>
      <c r="T23" s="16"/>
      <c r="U23" s="16"/>
      <c r="V23" s="16"/>
      <c r="W23" s="35"/>
    </row>
    <row r="24" spans="1:23" x14ac:dyDescent="0.2">
      <c r="A24" s="16" t="s">
        <v>50</v>
      </c>
      <c r="B24" s="36">
        <v>9</v>
      </c>
      <c r="C24" s="23" t="s">
        <v>23</v>
      </c>
      <c r="D24" s="20">
        <f>IFERROR(('Team Passing'!$I24-VLOOKUP('CURRENT WEEK'!$C24,'Team Passing Def'!$A$2:$I$33,9,FALSE))/-31,"")</f>
        <v>0.19354838709677419</v>
      </c>
      <c r="E24" s="17">
        <f>IFERROR(('Team Passing'!$G24-VLOOKUP('CURRENT WEEK'!$C24,'Team Passing Def'!$A$2:$G$33,7,FALSE))/-31,"")</f>
        <v>0</v>
      </c>
      <c r="F24" s="22">
        <f>IFERROR(('Team Passing'!$D24-VLOOKUP('CURRENT WEEK'!$C24,'Team Passing Def'!$A$2:$D$33,4,FALSE))/-31,"")</f>
        <v>-0.29032258064516131</v>
      </c>
      <c r="G24" s="20">
        <f>IFERROR(('Team Rushing'!$I24-VLOOKUP('CURRENT WEEK'!$C24,'Team Rushing Def'!$A$2:$I$33,9,FALSE))/-31,"")</f>
        <v>-0.70967741935483875</v>
      </c>
      <c r="H24" s="22">
        <f>IFERROR(('Team Rushing'!$D24-VLOOKUP('CURRENT WEEK'!$C24,'Team Rushing Def'!$A$2:$D$33,4,FALSE))/-31,"")</f>
        <v>0</v>
      </c>
      <c r="I24" s="20">
        <f>IFERROR(('Team Passing'!$O24-VLOOKUP('CURRENT WEEK'!$C24,'Team Passing Def'!$A$2:$O$33,13,FALSE))/-31,"")</f>
        <v>-0.22580645161290322</v>
      </c>
      <c r="J24" s="22">
        <f>IFERROR(('Team Rushing'!$L24-VLOOKUP('CURRENT WEEK'!$C24,'Team Rushing Def'!$A$2:$L$33,12,FALSE))/-31,"")</f>
        <v>0.29032258064516131</v>
      </c>
      <c r="K24" s="22">
        <f>IF(ISBLANK(C24),"",('Team Passing'!C24+'Team Rushing'!C24+VLOOKUP('CURRENT WEEK'!C24,'Team Passing'!$A$2:$C$33,3,FALSE)+VLOOKUP('CURRENT WEEK'!C24,'Team Rushing'!$A$2:$C$33,3,FALSE))/2)</f>
        <v>60.388888888888886</v>
      </c>
      <c r="L24" s="24" t="s">
        <v>98</v>
      </c>
      <c r="M24" s="27">
        <v>44.5</v>
      </c>
      <c r="N24" s="18" t="str">
        <f t="shared" si="0"/>
        <v/>
      </c>
      <c r="O24" s="18" t="str">
        <f t="shared" si="1"/>
        <v>UNDER</v>
      </c>
      <c r="P24" s="16"/>
      <c r="Q24" s="16"/>
      <c r="R24" s="16"/>
      <c r="S24" s="16"/>
      <c r="T24" s="16"/>
      <c r="U24" s="16"/>
      <c r="V24" s="16"/>
      <c r="W24" s="35"/>
    </row>
    <row r="25" spans="1:23" x14ac:dyDescent="0.2">
      <c r="A25" s="16" t="s">
        <v>51</v>
      </c>
      <c r="B25" s="36">
        <v>8</v>
      </c>
      <c r="C25" s="23" t="s">
        <v>31</v>
      </c>
      <c r="D25" s="20">
        <f>IFERROR(('Team Passing'!$I25-VLOOKUP('CURRENT WEEK'!$C25,'Team Passing Def'!$A$2:$I$33,9,FALSE))/-31,"")</f>
        <v>0.77419354838709675</v>
      </c>
      <c r="E25" s="17">
        <f>IFERROR(('Team Passing'!$G25-VLOOKUP('CURRENT WEEK'!$C25,'Team Passing Def'!$A$2:$G$33,7,FALSE))/-31,"")</f>
        <v>0.29032258064516131</v>
      </c>
      <c r="F25" s="22">
        <f>IFERROR(('Team Passing'!$D25-VLOOKUP('CURRENT WEEK'!$C25,'Team Passing Def'!$A$2:$D$33,4,FALSE))/-31,"")</f>
        <v>0</v>
      </c>
      <c r="G25" s="20">
        <f>IFERROR(('Team Rushing'!$I25-VLOOKUP('CURRENT WEEK'!$C25,'Team Rushing Def'!$A$2:$I$33,9,FALSE))/-31,"")</f>
        <v>6.4516129032258063E-2</v>
      </c>
      <c r="H25" s="22">
        <f>IFERROR(('Team Rushing'!$D25-VLOOKUP('CURRENT WEEK'!$C25,'Team Rushing Def'!$A$2:$D$33,4,FALSE))/-31,"")</f>
        <v>-0.25806451612903225</v>
      </c>
      <c r="I25" s="20">
        <f>IFERROR(('Team Passing'!$O25-VLOOKUP('CURRENT WEEK'!$C25,'Team Passing Def'!$A$2:$O$33,13,FALSE))/-31,"")</f>
        <v>3.2258064516129031E-2</v>
      </c>
      <c r="J25" s="22">
        <f>IFERROR(('Team Rushing'!$L25-VLOOKUP('CURRENT WEEK'!$C25,'Team Rushing Def'!$A$2:$L$33,12,FALSE))/-31,"")</f>
        <v>0.45161290322580644</v>
      </c>
      <c r="K25" s="22">
        <f>IF(ISBLANK(C25),"",('Team Passing'!C25+'Team Rushing'!C25+VLOOKUP('CURRENT WEEK'!C25,'Team Passing'!$A$2:$C$33,3,FALSE)+VLOOKUP('CURRENT WEEK'!C25,'Team Rushing'!$A$2:$C$33,3,FALSE))/2)</f>
        <v>64.729166666666671</v>
      </c>
      <c r="L25" s="24" t="s">
        <v>154</v>
      </c>
      <c r="M25" s="27">
        <v>51.5</v>
      </c>
      <c r="N25" s="18" t="str">
        <f t="shared" si="0"/>
        <v>OVER</v>
      </c>
      <c r="O25" s="18" t="str">
        <f t="shared" si="1"/>
        <v/>
      </c>
      <c r="P25" s="16"/>
      <c r="Q25" s="16"/>
      <c r="R25" s="16"/>
      <c r="S25" s="16"/>
      <c r="T25" s="16"/>
      <c r="U25" s="16"/>
      <c r="V25" s="16"/>
      <c r="W25" s="35"/>
    </row>
    <row r="26" spans="1:23" x14ac:dyDescent="0.2">
      <c r="A26" s="16" t="s">
        <v>53</v>
      </c>
      <c r="B26" s="36">
        <v>9</v>
      </c>
      <c r="C26" s="23" t="s">
        <v>16</v>
      </c>
      <c r="D26" s="20">
        <f>IFERROR(('Team Passing'!$I26-VLOOKUP('CURRENT WEEK'!$C26,'Team Passing Def'!$A$2:$I$33,9,FALSE))/-31,"")</f>
        <v>0.38709677419354838</v>
      </c>
      <c r="E26" s="17">
        <f>IFERROR(('Team Passing'!$G26-VLOOKUP('CURRENT WEEK'!$C26,'Team Passing Def'!$A$2:$G$33,7,FALSE))/-31,"")</f>
        <v>0.61290322580645162</v>
      </c>
      <c r="F26" s="22">
        <f>IFERROR(('Team Passing'!$D26-VLOOKUP('CURRENT WEEK'!$C26,'Team Passing Def'!$A$2:$D$33,4,FALSE))/-31,"")</f>
        <v>-0.32258064516129031</v>
      </c>
      <c r="G26" s="20">
        <f>IFERROR(('Team Rushing'!$I26-VLOOKUP('CURRENT WEEK'!$C26,'Team Rushing Def'!$A$2:$I$33,9,FALSE))/-31,"")</f>
        <v>-3.2258064516129031E-2</v>
      </c>
      <c r="H26" s="22">
        <f>IFERROR(('Team Rushing'!$D26-VLOOKUP('CURRENT WEEK'!$C26,'Team Rushing Def'!$A$2:$D$33,4,FALSE))/-31,"")</f>
        <v>0.41935483870967744</v>
      </c>
      <c r="I26" s="20">
        <f>IFERROR(('Team Passing'!$O26-VLOOKUP('CURRENT WEEK'!$C26,'Team Passing Def'!$A$2:$O$33,13,FALSE))/-31,"")</f>
        <v>0.32258064516129031</v>
      </c>
      <c r="J26" s="22">
        <f>IFERROR(('Team Rushing'!$L26-VLOOKUP('CURRENT WEEK'!$C26,'Team Rushing Def'!$A$2:$L$33,12,FALSE))/-31,"")</f>
        <v>0.35483870967741937</v>
      </c>
      <c r="K26" s="22">
        <f>IF(ISBLANK(C26),"",('Team Passing'!C26+'Team Rushing'!C26+VLOOKUP('CURRENT WEEK'!C26,'Team Passing'!$A$2:$C$33,3,FALSE)+VLOOKUP('CURRENT WEEK'!C26,'Team Rushing'!$A$2:$C$33,3,FALSE))/2)</f>
        <v>60.125</v>
      </c>
      <c r="L26" s="24" t="s">
        <v>81</v>
      </c>
      <c r="M26" s="27">
        <v>48.5</v>
      </c>
      <c r="N26" s="18" t="str">
        <f t="shared" si="0"/>
        <v/>
      </c>
      <c r="O26" s="18" t="str">
        <f t="shared" si="1"/>
        <v/>
      </c>
      <c r="P26" s="16"/>
      <c r="Q26" s="16"/>
      <c r="R26" s="16"/>
      <c r="S26" s="16"/>
      <c r="T26" s="16"/>
      <c r="U26" s="16"/>
      <c r="V26" s="16"/>
      <c r="W26" s="35"/>
    </row>
    <row r="27" spans="1:23" x14ac:dyDescent="0.2">
      <c r="A27" s="16" t="s">
        <v>54</v>
      </c>
      <c r="B27" s="36">
        <v>8</v>
      </c>
      <c r="C27" s="23" t="s">
        <v>37</v>
      </c>
      <c r="D27" s="20">
        <f>IFERROR(('Team Passing'!$I27-VLOOKUP('CURRENT WEEK'!$C27,'Team Passing Def'!$A$2:$I$33,9,FALSE))/-31,"")</f>
        <v>0.35483870967741937</v>
      </c>
      <c r="E27" s="17">
        <f>IFERROR(('Team Passing'!$G27-VLOOKUP('CURRENT WEEK'!$C27,'Team Passing Def'!$A$2:$G$33,7,FALSE))/-31,"")</f>
        <v>-0.38709677419354838</v>
      </c>
      <c r="F27" s="22">
        <f>IFERROR(('Team Passing'!$D27-VLOOKUP('CURRENT WEEK'!$C27,'Team Passing Def'!$A$2:$D$33,4,FALSE))/-31,"")</f>
        <v>0.35483870967741937</v>
      </c>
      <c r="G27" s="20">
        <f>IFERROR(('Team Rushing'!$I27-VLOOKUP('CURRENT WEEK'!$C27,'Team Rushing Def'!$A$2:$I$33,9,FALSE))/-31,"")</f>
        <v>0.35483870967741937</v>
      </c>
      <c r="H27" s="22">
        <f>IFERROR(('Team Rushing'!$D27-VLOOKUP('CURRENT WEEK'!$C27,'Team Rushing Def'!$A$2:$D$33,4,FALSE))/-31,"")</f>
        <v>0.4838709677419355</v>
      </c>
      <c r="I27" s="20">
        <f>IFERROR(('Team Passing'!$O27-VLOOKUP('CURRENT WEEK'!$C27,'Team Passing Def'!$A$2:$O$33,13,FALSE))/-31,"")</f>
        <v>6.4516129032258063E-2</v>
      </c>
      <c r="J27" s="22">
        <f>IFERROR(('Team Rushing'!$L27-VLOOKUP('CURRENT WEEK'!$C27,'Team Rushing Def'!$A$2:$L$33,12,FALSE))/-31,"")</f>
        <v>0.45161290322580644</v>
      </c>
      <c r="K27" s="22">
        <f>IF(ISBLANK(C27),"",('Team Passing'!C27+'Team Rushing'!C27+VLOOKUP('CURRENT WEEK'!C27,'Team Passing'!$A$2:$C$33,3,FALSE)+VLOOKUP('CURRENT WEEK'!C27,'Team Rushing'!$A$2:$C$33,3,FALSE))/2)</f>
        <v>64.111111111111114</v>
      </c>
      <c r="L27" s="24" t="s">
        <v>160</v>
      </c>
      <c r="M27" s="27">
        <v>46.5</v>
      </c>
      <c r="N27" s="18" t="str">
        <f t="shared" si="0"/>
        <v/>
      </c>
      <c r="O27" s="18" t="str">
        <f t="shared" si="1"/>
        <v/>
      </c>
      <c r="P27" s="16"/>
      <c r="Q27" s="16"/>
      <c r="R27" s="16"/>
      <c r="S27" s="16"/>
      <c r="T27" s="16"/>
      <c r="U27" s="16"/>
      <c r="V27" s="16"/>
      <c r="W27" s="35"/>
    </row>
    <row r="28" spans="1:23" x14ac:dyDescent="0.2">
      <c r="A28" s="16" t="s">
        <v>55</v>
      </c>
      <c r="B28" s="36">
        <v>8</v>
      </c>
      <c r="C28" s="23" t="s">
        <v>61</v>
      </c>
      <c r="D28" s="20">
        <f>IFERROR(('Team Passing'!$I28-VLOOKUP('CURRENT WEEK'!$C28,'Team Passing Def'!$A$2:$I$33,9,FALSE))/-31,"")</f>
        <v>-0.5161290322580645</v>
      </c>
      <c r="E28" s="17">
        <f>IFERROR(('Team Passing'!$G28-VLOOKUP('CURRENT WEEK'!$C28,'Team Passing Def'!$A$2:$G$33,7,FALSE))/-31,"")</f>
        <v>-0.74193548387096775</v>
      </c>
      <c r="F28" s="22">
        <f>IFERROR(('Team Passing'!$D28-VLOOKUP('CURRENT WEEK'!$C28,'Team Passing Def'!$A$2:$D$33,4,FALSE))/-31,"")</f>
        <v>9.6774193548387094E-2</v>
      </c>
      <c r="G28" s="20">
        <f>IFERROR(('Team Rushing'!$I28-VLOOKUP('CURRENT WEEK'!$C28,'Team Rushing Def'!$A$2:$I$33,9,FALSE))/-31,"")</f>
        <v>6.4516129032258063E-2</v>
      </c>
      <c r="H28" s="22">
        <f>IFERROR(('Team Rushing'!$D28-VLOOKUP('CURRENT WEEK'!$C28,'Team Rushing Def'!$A$2:$D$33,4,FALSE))/-31,"")</f>
        <v>0</v>
      </c>
      <c r="I28" s="20">
        <f>IFERROR(('Team Passing'!$O28-VLOOKUP('CURRENT WEEK'!$C28,'Team Passing Def'!$A$2:$O$33,13,FALSE))/-31,"")</f>
        <v>0.29032258064516131</v>
      </c>
      <c r="J28" s="22">
        <f>IFERROR(('Team Rushing'!$L28-VLOOKUP('CURRENT WEEK'!$C28,'Team Rushing Def'!$A$2:$L$33,12,FALSE))/-31,"")</f>
        <v>6.4516129032258063E-2</v>
      </c>
      <c r="K28" s="22">
        <f>IF(ISBLANK(C28),"",('Team Passing'!C28+'Team Rushing'!C28+VLOOKUP('CURRENT WEEK'!C28,'Team Passing'!$A$2:$C$33,3,FALSE)+VLOOKUP('CURRENT WEEK'!C28,'Team Rushing'!$A$2:$C$33,3,FALSE))/2)</f>
        <v>62.173611111111114</v>
      </c>
      <c r="L28" s="24" t="s">
        <v>86</v>
      </c>
      <c r="M28" s="27">
        <v>44.5</v>
      </c>
      <c r="N28" s="18" t="str">
        <f t="shared" si="0"/>
        <v>UNDER</v>
      </c>
      <c r="O28" s="18" t="str">
        <f t="shared" si="1"/>
        <v/>
      </c>
      <c r="P28" s="16"/>
      <c r="Q28" s="16"/>
      <c r="R28" s="16"/>
      <c r="S28" s="16"/>
      <c r="T28" s="16"/>
      <c r="U28" s="16"/>
      <c r="V28" s="16"/>
      <c r="W28" s="35"/>
    </row>
    <row r="29" spans="1:23" x14ac:dyDescent="0.2">
      <c r="A29" s="16" t="s">
        <v>56</v>
      </c>
      <c r="B29" s="36">
        <v>8</v>
      </c>
      <c r="C29" s="23" t="s">
        <v>47</v>
      </c>
      <c r="D29" s="20">
        <f>IFERROR(('Team Passing'!$I29-VLOOKUP('CURRENT WEEK'!$C29,'Team Passing Def'!$A$2:$I$33,9,FALSE))/-31,"")</f>
        <v>6.4516129032258063E-2</v>
      </c>
      <c r="E29" s="17">
        <f>IFERROR(('Team Passing'!$G29-VLOOKUP('CURRENT WEEK'!$C29,'Team Passing Def'!$A$2:$G$33,7,FALSE))/-31,"")</f>
        <v>0.38709677419354838</v>
      </c>
      <c r="F29" s="22">
        <f>IFERROR(('Team Passing'!$D29-VLOOKUP('CURRENT WEEK'!$C29,'Team Passing Def'!$A$2:$D$33,4,FALSE))/-31,"")</f>
        <v>-0.54838709677419351</v>
      </c>
      <c r="G29" s="20">
        <f>IFERROR(('Team Rushing'!$I29-VLOOKUP('CURRENT WEEK'!$C29,'Team Rushing Def'!$A$2:$I$33,9,FALSE))/-31,"")</f>
        <v>0.22580645161290322</v>
      </c>
      <c r="H29" s="22">
        <f>IFERROR(('Team Rushing'!$D29-VLOOKUP('CURRENT WEEK'!$C29,'Team Rushing Def'!$A$2:$D$33,4,FALSE))/-31,"")</f>
        <v>-0.25806451612903225</v>
      </c>
      <c r="I29" s="20">
        <f>IFERROR(('Team Passing'!$O29-VLOOKUP('CURRENT WEEK'!$C29,'Team Passing Def'!$A$2:$O$33,13,FALSE))/-31,"")</f>
        <v>6.4516129032258063E-2</v>
      </c>
      <c r="J29" s="22">
        <f>IFERROR(('Team Rushing'!$L29-VLOOKUP('CURRENT WEEK'!$C29,'Team Rushing Def'!$A$2:$L$33,12,FALSE))/-31,"")</f>
        <v>6.4516129032258063E-2</v>
      </c>
      <c r="K29" s="22">
        <f>IF(ISBLANK(C29),"",('Team Passing'!C29+'Team Rushing'!C29+VLOOKUP('CURRENT WEEK'!C29,'Team Passing'!$A$2:$C$33,3,FALSE)+VLOOKUP('CURRENT WEEK'!C29,'Team Rushing'!$A$2:$C$33,3,FALSE))/2)</f>
        <v>55.44444444444445</v>
      </c>
      <c r="L29" s="24" t="s">
        <v>90</v>
      </c>
      <c r="M29" s="27">
        <v>49.5</v>
      </c>
      <c r="N29" s="18" t="str">
        <f t="shared" si="0"/>
        <v/>
      </c>
      <c r="O29" s="18" t="str">
        <f t="shared" si="1"/>
        <v/>
      </c>
      <c r="P29" s="16"/>
      <c r="Q29" s="16"/>
      <c r="R29" s="16"/>
      <c r="S29" s="16"/>
      <c r="T29" s="16"/>
      <c r="U29" s="16"/>
      <c r="V29" s="16"/>
      <c r="W29" s="35"/>
    </row>
    <row r="30" spans="1:23" x14ac:dyDescent="0.2">
      <c r="A30" s="16" t="s">
        <v>58</v>
      </c>
      <c r="B30" s="36">
        <v>8</v>
      </c>
      <c r="C30" s="23" t="s">
        <v>46</v>
      </c>
      <c r="D30" s="20">
        <f>IFERROR(('Team Passing'!$I30-VLOOKUP('CURRENT WEEK'!$C30,'Team Passing Def'!$A$2:$I$33,9,FALSE))/-31,"")</f>
        <v>0.16129032258064516</v>
      </c>
      <c r="E30" s="17">
        <f>IFERROR(('Team Passing'!$G30-VLOOKUP('CURRENT WEEK'!$C30,'Team Passing Def'!$A$2:$G$33,7,FALSE))/-31,"")</f>
        <v>0.22580645161290322</v>
      </c>
      <c r="F30" s="22">
        <f>IFERROR(('Team Passing'!$D30-VLOOKUP('CURRENT WEEK'!$C30,'Team Passing Def'!$A$2:$D$33,4,FALSE))/-31,"")</f>
        <v>-0.32258064516129031</v>
      </c>
      <c r="G30" s="20">
        <f>IFERROR(('Team Rushing'!$I30-VLOOKUP('CURRENT WEEK'!$C30,'Team Rushing Def'!$A$2:$I$33,9,FALSE))/-31,"")</f>
        <v>-0.41935483870967744</v>
      </c>
      <c r="H30" s="22">
        <f>IFERROR(('Team Rushing'!$D30-VLOOKUP('CURRENT WEEK'!$C30,'Team Rushing Def'!$A$2:$D$33,4,FALSE))/-31,"")</f>
        <v>0.29032258064516131</v>
      </c>
      <c r="I30" s="20">
        <f>IFERROR(('Team Passing'!$O30-VLOOKUP('CURRENT WEEK'!$C30,'Team Passing Def'!$A$2:$O$33,13,FALSE))/-31,"")</f>
        <v>-0.25806451612903225</v>
      </c>
      <c r="J30" s="22">
        <f>IFERROR(('Team Rushing'!$L30-VLOOKUP('CURRENT WEEK'!$C30,'Team Rushing Def'!$A$2:$L$33,12,FALSE))/-31,"")</f>
        <v>0.19354838709677419</v>
      </c>
      <c r="K30" s="22">
        <f>IF(ISBLANK(C30),"",('Team Passing'!C30+'Team Rushing'!C30+VLOOKUP('CURRENT WEEK'!C30,'Team Passing'!$A$2:$C$33,3,FALSE)+VLOOKUP('CURRENT WEEK'!C30,'Team Rushing'!$A$2:$C$33,3,FALSE))/2)</f>
        <v>61.75</v>
      </c>
      <c r="L30" s="24" t="s">
        <v>87</v>
      </c>
      <c r="M30" s="27">
        <v>42</v>
      </c>
      <c r="N30" s="18" t="str">
        <f t="shared" si="0"/>
        <v/>
      </c>
      <c r="O30" s="18" t="str">
        <f t="shared" si="1"/>
        <v/>
      </c>
      <c r="P30" s="16"/>
      <c r="Q30" s="16"/>
      <c r="R30" s="16"/>
      <c r="S30" s="16"/>
      <c r="T30" s="16"/>
      <c r="U30" s="16"/>
      <c r="V30" s="16"/>
      <c r="W30" s="35"/>
    </row>
    <row r="31" spans="1:23" x14ac:dyDescent="0.2">
      <c r="A31" s="16" t="s">
        <v>59</v>
      </c>
      <c r="B31" s="36">
        <v>9</v>
      </c>
      <c r="C31" s="23"/>
      <c r="D31" s="20" t="str">
        <f>IFERROR(('Team Passing'!$I31-VLOOKUP('CURRENT WEEK'!$C31,'Team Passing Def'!$A$2:$I$33,9,FALSE))/-31,"")</f>
        <v/>
      </c>
      <c r="E31" s="17" t="str">
        <f>IFERROR(('Team Passing'!$G31-VLOOKUP('CURRENT WEEK'!$C31,'Team Passing Def'!$A$2:$G$33,7,FALSE))/-31,"")</f>
        <v/>
      </c>
      <c r="F31" s="22" t="str">
        <f>IFERROR(('Team Passing'!$D31-VLOOKUP('CURRENT WEEK'!$C31,'Team Passing Def'!$A$2:$D$33,4,FALSE))/-31,"")</f>
        <v/>
      </c>
      <c r="G31" s="20" t="str">
        <f>IFERROR(('Team Rushing'!$I31-VLOOKUP('CURRENT WEEK'!$C31,'Team Rushing Def'!$A$2:$I$33,9,FALSE))/-31,"")</f>
        <v/>
      </c>
      <c r="H31" s="22" t="str">
        <f>IFERROR(('Team Rushing'!$D31-VLOOKUP('CURRENT WEEK'!$C31,'Team Rushing Def'!$A$2:$D$33,4,FALSE))/-31,"")</f>
        <v/>
      </c>
      <c r="I31" s="20" t="str">
        <f>IFERROR(('Team Passing'!$O31-VLOOKUP('CURRENT WEEK'!$C31,'Team Passing Def'!$A$2:$O$33,13,FALSE))/-31,"")</f>
        <v/>
      </c>
      <c r="J31" s="22" t="str">
        <f>IFERROR(('Team Rushing'!$L31-VLOOKUP('CURRENT WEEK'!$C31,'Team Rushing Def'!$A$2:$L$33,12,FALSE))/-31,"")</f>
        <v/>
      </c>
      <c r="K31" s="22" t="str">
        <f>IF(ISBLANK(C31),"",('Team Passing'!C31+'Team Rushing'!C31+VLOOKUP('CURRENT WEEK'!C31,'Team Passing'!$A$2:$C$33,3,FALSE)+VLOOKUP('CURRENT WEEK'!C31,'Team Rushing'!$A$2:$C$33,3,FALSE))/2)</f>
        <v/>
      </c>
      <c r="L31" s="24"/>
      <c r="M31" s="27"/>
      <c r="N31" s="18" t="str">
        <f t="shared" si="0"/>
        <v/>
      </c>
      <c r="O31" s="18" t="str">
        <f t="shared" si="1"/>
        <v/>
      </c>
      <c r="P31" s="16"/>
      <c r="Q31" s="16"/>
      <c r="R31" s="16"/>
      <c r="S31" s="16"/>
      <c r="T31" s="16"/>
      <c r="U31" s="16"/>
      <c r="V31" s="16"/>
      <c r="W31" s="35"/>
    </row>
    <row r="32" spans="1:23" x14ac:dyDescent="0.2">
      <c r="A32" s="16" t="s">
        <v>61</v>
      </c>
      <c r="B32" s="36">
        <v>9</v>
      </c>
      <c r="C32" s="23" t="s">
        <v>55</v>
      </c>
      <c r="D32" s="20">
        <f>IFERROR(('Team Passing'!$I32-VLOOKUP('CURRENT WEEK'!$C32,'Team Passing Def'!$A$2:$I$33,9,FALSE))/-31,"")</f>
        <v>0.29032258064516131</v>
      </c>
      <c r="E32" s="17">
        <f>IFERROR(('Team Passing'!$G32-VLOOKUP('CURRENT WEEK'!$C32,'Team Passing Def'!$A$2:$G$33,7,FALSE))/-31,"")</f>
        <v>-0.22580645161290322</v>
      </c>
      <c r="F32" s="22">
        <f>IFERROR(('Team Passing'!$D32-VLOOKUP('CURRENT WEEK'!$C32,'Team Passing Def'!$A$2:$D$33,4,FALSE))/-31,"")</f>
        <v>-3.2258064516129031E-2</v>
      </c>
      <c r="G32" s="20">
        <f>IFERROR(('Team Rushing'!$I32-VLOOKUP('CURRENT WEEK'!$C32,'Team Rushing Def'!$A$2:$I$33,9,FALSE))/-31,"")</f>
        <v>-0.45161290322580644</v>
      </c>
      <c r="H32" s="22">
        <f>IFERROR(('Team Rushing'!$D32-VLOOKUP('CURRENT WEEK'!$C32,'Team Rushing Def'!$A$2:$D$33,4,FALSE))/-31,"")</f>
        <v>0.12903225806451613</v>
      </c>
      <c r="I32" s="20">
        <f>IFERROR(('Team Passing'!$O32-VLOOKUP('CURRENT WEEK'!$C32,'Team Passing Def'!$A$2:$O$33,13,FALSE))/-31,"")</f>
        <v>-0.29032258064516131</v>
      </c>
      <c r="J32" s="22">
        <f>IFERROR(('Team Rushing'!$L32-VLOOKUP('CURRENT WEEK'!$C32,'Team Rushing Def'!$A$2:$L$33,12,FALSE))/-31,"")</f>
        <v>0.12903225806451613</v>
      </c>
      <c r="K32" s="22">
        <f>IF(ISBLANK(C32),"",('Team Passing'!C32+'Team Rushing'!C32+VLOOKUP('CURRENT WEEK'!C32,'Team Passing'!$A$2:$C$33,3,FALSE)+VLOOKUP('CURRENT WEEK'!C32,'Team Rushing'!$A$2:$C$33,3,FALSE))/2)</f>
        <v>62.173611111111114</v>
      </c>
      <c r="L32" s="24" t="s">
        <v>84</v>
      </c>
      <c r="M32" s="27">
        <v>44.5</v>
      </c>
      <c r="N32" s="18" t="str">
        <f t="shared" si="0"/>
        <v/>
      </c>
      <c r="O32" s="18" t="str">
        <f t="shared" si="1"/>
        <v/>
      </c>
      <c r="P32" s="16"/>
      <c r="Q32" s="16"/>
      <c r="R32" s="16"/>
      <c r="S32" s="16"/>
      <c r="T32" s="16"/>
      <c r="U32" s="16"/>
      <c r="V32" s="16"/>
      <c r="W32" s="35"/>
    </row>
    <row r="33" spans="1:23" x14ac:dyDescent="0.2">
      <c r="A33" s="16" t="s">
        <v>62</v>
      </c>
      <c r="B33" s="36">
        <v>8</v>
      </c>
      <c r="C33" s="23" t="s">
        <v>29</v>
      </c>
      <c r="D33" s="20">
        <f>IFERROR(('Team Passing'!$I33-VLOOKUP('CURRENT WEEK'!$C33,'Team Passing Def'!$A$2:$I$33,9,FALSE))/-31,"")</f>
        <v>-0.25806451612903225</v>
      </c>
      <c r="E33" s="17">
        <f>IFERROR(('Team Passing'!$G33-VLOOKUP('CURRENT WEEK'!$C33,'Team Passing Def'!$A$2:$G$33,7,FALSE))/-31,"")</f>
        <v>0.32258064516129031</v>
      </c>
      <c r="F33" s="22">
        <f>IFERROR(('Team Passing'!$D33-VLOOKUP('CURRENT WEEK'!$C33,'Team Passing Def'!$A$2:$D$33,4,FALSE))/-31,"")</f>
        <v>-0.22580645161290322</v>
      </c>
      <c r="G33" s="20">
        <f>IFERROR(('Team Rushing'!$I33-VLOOKUP('CURRENT WEEK'!$C33,'Team Rushing Def'!$A$2:$I$33,9,FALSE))/-31,"")</f>
        <v>0.74193548387096775</v>
      </c>
      <c r="H33" s="22">
        <f>IFERROR(('Team Rushing'!$D33-VLOOKUP('CURRENT WEEK'!$C33,'Team Rushing Def'!$A$2:$D$33,4,FALSE))/-31,"")</f>
        <v>0.67741935483870963</v>
      </c>
      <c r="I33" s="20">
        <f>IFERROR(('Team Passing'!$O33-VLOOKUP('CURRENT WEEK'!$C33,'Team Passing Def'!$A$2:$O$33,13,FALSE))/-31,"")</f>
        <v>3.2258064516129031E-2</v>
      </c>
      <c r="J33" s="22">
        <f>IFERROR(('Team Rushing'!$L33-VLOOKUP('CURRENT WEEK'!$C33,'Team Rushing Def'!$A$2:$L$33,12,FALSE))/-31,"")</f>
        <v>-9.6774193548387094E-2</v>
      </c>
      <c r="K33" s="22">
        <f>IF(ISBLANK(C33),"",('Team Passing'!C33+'Team Rushing'!C33+VLOOKUP('CURRENT WEEK'!C33,'Team Passing'!$A$2:$C$33,3,FALSE)+VLOOKUP('CURRENT WEEK'!C33,'Team Rushing'!$A$2:$C$33,3,FALSE))/2)</f>
        <v>64.25</v>
      </c>
      <c r="L33" s="24" t="s">
        <v>154</v>
      </c>
      <c r="M33" s="27">
        <v>52</v>
      </c>
      <c r="N33" s="18" t="str">
        <f t="shared" si="0"/>
        <v/>
      </c>
      <c r="O33" s="18" t="str">
        <f t="shared" si="1"/>
        <v>OVER</v>
      </c>
      <c r="P33" s="16"/>
      <c r="Q33" s="16"/>
      <c r="R33" s="16"/>
      <c r="S33" s="16"/>
      <c r="T33" s="16"/>
      <c r="U33" s="16"/>
      <c r="V33" s="16"/>
      <c r="W33" s="35"/>
    </row>
  </sheetData>
  <conditionalFormatting sqref="D2:D33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3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12 M20:M33 M14:M1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3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49C42-F9B5-CA4C-A00F-A4B1EC5C34E7}">
  <sheetPr codeName="Sheet15"/>
  <dimension ref="A1:S33"/>
  <sheetViews>
    <sheetView workbookViewId="0">
      <selection activeCell="Q13" sqref="Q13"/>
    </sheetView>
  </sheetViews>
  <sheetFormatPr baseColWidth="10" defaultRowHeight="16" x14ac:dyDescent="0.2"/>
  <sheetData>
    <row r="1" spans="1:19" x14ac:dyDescent="0.2">
      <c r="A1" s="37" t="s">
        <v>250</v>
      </c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</row>
    <row r="2" spans="1:19" x14ac:dyDescent="0.2">
      <c r="A2" s="33" t="s">
        <v>256</v>
      </c>
      <c r="B2" s="33" t="s">
        <v>266</v>
      </c>
      <c r="C2" s="33" t="s">
        <v>313</v>
      </c>
      <c r="D2" s="33" t="s">
        <v>259</v>
      </c>
      <c r="E2" s="33" t="s">
        <v>269</v>
      </c>
      <c r="F2" s="33" t="s">
        <v>301</v>
      </c>
      <c r="G2" s="38" t="s">
        <v>263</v>
      </c>
      <c r="H2" s="33" t="s">
        <v>267</v>
      </c>
      <c r="I2" s="33" t="s">
        <v>264</v>
      </c>
      <c r="J2" s="33" t="s">
        <v>251</v>
      </c>
      <c r="K2" s="33" t="s">
        <v>265</v>
      </c>
      <c r="L2" s="33" t="s">
        <v>254</v>
      </c>
      <c r="M2" s="33" t="s">
        <v>253</v>
      </c>
      <c r="N2" s="33" t="s">
        <v>262</v>
      </c>
      <c r="O2" s="33" t="s">
        <v>292</v>
      </c>
      <c r="P2" s="39" t="s">
        <v>270</v>
      </c>
      <c r="Q2" s="39" t="s">
        <v>252</v>
      </c>
      <c r="R2" s="39" t="s">
        <v>258</v>
      </c>
      <c r="S2" s="39" t="s">
        <v>255</v>
      </c>
    </row>
    <row r="3" spans="1:19" x14ac:dyDescent="0.2">
      <c r="A3" s="33" t="s">
        <v>302</v>
      </c>
      <c r="B3" s="33" t="s">
        <v>255</v>
      </c>
      <c r="C3" s="33" t="s">
        <v>289</v>
      </c>
      <c r="D3" s="33" t="s">
        <v>257</v>
      </c>
      <c r="E3" s="33" t="s">
        <v>281</v>
      </c>
      <c r="F3" s="33" t="s">
        <v>285</v>
      </c>
      <c r="G3" s="33" t="s">
        <v>259</v>
      </c>
      <c r="H3" s="33" t="s">
        <v>272</v>
      </c>
      <c r="I3" s="33" t="s">
        <v>256</v>
      </c>
      <c r="J3" s="33" t="s">
        <v>291</v>
      </c>
      <c r="K3" s="38" t="s">
        <v>263</v>
      </c>
      <c r="L3" s="33" t="s">
        <v>284</v>
      </c>
      <c r="M3" s="33" t="s">
        <v>266</v>
      </c>
      <c r="N3" s="33" t="s">
        <v>251</v>
      </c>
      <c r="O3" s="33" t="s">
        <v>303</v>
      </c>
      <c r="P3" s="39" t="s">
        <v>253</v>
      </c>
      <c r="Q3" s="39" t="s">
        <v>262</v>
      </c>
      <c r="R3" s="39" t="s">
        <v>304</v>
      </c>
      <c r="S3" s="39" t="s">
        <v>305</v>
      </c>
    </row>
    <row r="4" spans="1:19" x14ac:dyDescent="0.2">
      <c r="A4" s="33" t="s">
        <v>289</v>
      </c>
      <c r="B4" s="33" t="s">
        <v>253</v>
      </c>
      <c r="C4" s="33" t="s">
        <v>264</v>
      </c>
      <c r="D4" s="33" t="s">
        <v>291</v>
      </c>
      <c r="E4" s="33" t="s">
        <v>306</v>
      </c>
      <c r="F4" s="33" t="s">
        <v>259</v>
      </c>
      <c r="G4" s="33" t="s">
        <v>266</v>
      </c>
      <c r="H4" s="33" t="s">
        <v>307</v>
      </c>
      <c r="I4" s="33" t="s">
        <v>297</v>
      </c>
      <c r="J4" s="33" t="s">
        <v>290</v>
      </c>
      <c r="K4" s="38" t="s">
        <v>263</v>
      </c>
      <c r="L4" s="33" t="s">
        <v>285</v>
      </c>
      <c r="M4" s="33" t="s">
        <v>293</v>
      </c>
      <c r="N4" s="33" t="s">
        <v>288</v>
      </c>
      <c r="O4" s="33" t="s">
        <v>256</v>
      </c>
      <c r="P4" s="39" t="s">
        <v>287</v>
      </c>
      <c r="Q4" s="39" t="s">
        <v>284</v>
      </c>
      <c r="R4" s="39" t="s">
        <v>286</v>
      </c>
      <c r="S4" s="39" t="s">
        <v>257</v>
      </c>
    </row>
    <row r="5" spans="1:19" x14ac:dyDescent="0.2">
      <c r="A5" s="33" t="s">
        <v>294</v>
      </c>
      <c r="B5" s="33" t="s">
        <v>293</v>
      </c>
      <c r="C5" s="33" t="s">
        <v>276</v>
      </c>
      <c r="D5" s="33" t="s">
        <v>274</v>
      </c>
      <c r="E5" s="33" t="s">
        <v>258</v>
      </c>
      <c r="F5" s="33" t="s">
        <v>295</v>
      </c>
      <c r="G5" s="33" t="s">
        <v>252</v>
      </c>
      <c r="H5" s="38" t="s">
        <v>263</v>
      </c>
      <c r="I5" s="33" t="s">
        <v>296</v>
      </c>
      <c r="J5" s="33" t="s">
        <v>254</v>
      </c>
      <c r="K5" s="33" t="s">
        <v>297</v>
      </c>
      <c r="L5" s="33" t="s">
        <v>267</v>
      </c>
      <c r="M5" s="33" t="s">
        <v>277</v>
      </c>
      <c r="N5" s="33" t="s">
        <v>278</v>
      </c>
      <c r="O5" s="33" t="s">
        <v>272</v>
      </c>
      <c r="P5" s="39" t="s">
        <v>261</v>
      </c>
      <c r="Q5" s="39" t="s">
        <v>298</v>
      </c>
      <c r="R5" s="39" t="s">
        <v>270</v>
      </c>
      <c r="S5" s="39" t="s">
        <v>275</v>
      </c>
    </row>
    <row r="6" spans="1:19" x14ac:dyDescent="0.2">
      <c r="A6" s="33" t="s">
        <v>309</v>
      </c>
      <c r="B6" s="33" t="s">
        <v>273</v>
      </c>
      <c r="C6" s="33" t="s">
        <v>254</v>
      </c>
      <c r="D6" s="33" t="s">
        <v>275</v>
      </c>
      <c r="E6" s="33" t="s">
        <v>284</v>
      </c>
      <c r="F6" s="33" t="s">
        <v>291</v>
      </c>
      <c r="G6" s="33" t="s">
        <v>310</v>
      </c>
      <c r="H6" s="33" t="s">
        <v>257</v>
      </c>
      <c r="I6" s="33" t="s">
        <v>274</v>
      </c>
      <c r="J6" s="33" t="s">
        <v>268</v>
      </c>
      <c r="K6" s="33" t="s">
        <v>271</v>
      </c>
      <c r="L6" s="38" t="s">
        <v>263</v>
      </c>
      <c r="M6" s="33" t="s">
        <v>288</v>
      </c>
      <c r="N6" s="33" t="s">
        <v>295</v>
      </c>
      <c r="O6" s="33" t="s">
        <v>281</v>
      </c>
      <c r="P6" s="39" t="s">
        <v>289</v>
      </c>
      <c r="Q6" s="39" t="s">
        <v>285</v>
      </c>
      <c r="R6" s="39" t="s">
        <v>308</v>
      </c>
      <c r="S6" s="39" t="s">
        <v>286</v>
      </c>
    </row>
    <row r="7" spans="1:19" x14ac:dyDescent="0.2">
      <c r="A7" s="33" t="s">
        <v>290</v>
      </c>
      <c r="B7" s="33" t="s">
        <v>295</v>
      </c>
      <c r="C7" s="33" t="s">
        <v>258</v>
      </c>
      <c r="D7" s="33" t="s">
        <v>302</v>
      </c>
      <c r="E7" s="33" t="s">
        <v>305</v>
      </c>
      <c r="F7" s="33" t="s">
        <v>308</v>
      </c>
      <c r="G7" s="33" t="s">
        <v>251</v>
      </c>
      <c r="H7" s="33" t="s">
        <v>309</v>
      </c>
      <c r="I7" s="33" t="s">
        <v>293</v>
      </c>
      <c r="J7" s="33" t="s">
        <v>292</v>
      </c>
      <c r="K7" s="33" t="s">
        <v>298</v>
      </c>
      <c r="L7" s="33" t="s">
        <v>281</v>
      </c>
      <c r="M7" s="33" t="s">
        <v>307</v>
      </c>
      <c r="N7" s="38" t="s">
        <v>263</v>
      </c>
      <c r="O7" s="33" t="s">
        <v>284</v>
      </c>
      <c r="P7" s="39" t="s">
        <v>310</v>
      </c>
      <c r="Q7" s="39" t="s">
        <v>303</v>
      </c>
      <c r="R7" s="39" t="s">
        <v>291</v>
      </c>
      <c r="S7" s="39" t="s">
        <v>289</v>
      </c>
    </row>
    <row r="8" spans="1:19" x14ac:dyDescent="0.2">
      <c r="A8" s="33" t="s">
        <v>279</v>
      </c>
      <c r="B8" s="33" t="s">
        <v>311</v>
      </c>
      <c r="C8" s="33" t="s">
        <v>270</v>
      </c>
      <c r="D8" s="33" t="s">
        <v>255</v>
      </c>
      <c r="E8" s="33" t="s">
        <v>298</v>
      </c>
      <c r="F8" s="33" t="s">
        <v>296</v>
      </c>
      <c r="G8" s="33" t="s">
        <v>313</v>
      </c>
      <c r="H8" s="33" t="s">
        <v>302</v>
      </c>
      <c r="I8" s="33" t="s">
        <v>277</v>
      </c>
      <c r="J8" s="38" t="s">
        <v>263</v>
      </c>
      <c r="K8" s="33" t="s">
        <v>312</v>
      </c>
      <c r="L8" s="33" t="s">
        <v>304</v>
      </c>
      <c r="M8" s="33" t="s">
        <v>314</v>
      </c>
      <c r="N8" s="33" t="s">
        <v>300</v>
      </c>
      <c r="O8" s="33" t="s">
        <v>294</v>
      </c>
      <c r="P8" s="39" t="s">
        <v>283</v>
      </c>
      <c r="Q8" s="39" t="s">
        <v>280</v>
      </c>
      <c r="R8" s="39" t="s">
        <v>297</v>
      </c>
      <c r="S8" s="39" t="s">
        <v>261</v>
      </c>
    </row>
    <row r="9" spans="1:19" x14ac:dyDescent="0.2">
      <c r="A9" s="33" t="s">
        <v>251</v>
      </c>
      <c r="B9" s="33" t="s">
        <v>252</v>
      </c>
      <c r="C9" s="33" t="s">
        <v>253</v>
      </c>
      <c r="D9" s="33" t="s">
        <v>254</v>
      </c>
      <c r="E9" s="33" t="s">
        <v>255</v>
      </c>
      <c r="F9" s="33" t="s">
        <v>256</v>
      </c>
      <c r="G9" s="33" t="s">
        <v>257</v>
      </c>
      <c r="H9" s="33" t="s">
        <v>258</v>
      </c>
      <c r="I9" s="33" t="s">
        <v>259</v>
      </c>
      <c r="J9" s="33" t="s">
        <v>260</v>
      </c>
      <c r="K9" s="33" t="s">
        <v>261</v>
      </c>
      <c r="L9" s="33" t="s">
        <v>262</v>
      </c>
      <c r="M9" s="38" t="s">
        <v>263</v>
      </c>
      <c r="N9" s="33" t="s">
        <v>264</v>
      </c>
      <c r="O9" s="33" t="s">
        <v>265</v>
      </c>
      <c r="P9" s="39" t="s">
        <v>266</v>
      </c>
      <c r="Q9" s="39" t="s">
        <v>267</v>
      </c>
      <c r="R9" s="39" t="s">
        <v>268</v>
      </c>
      <c r="S9" s="39" t="s">
        <v>269</v>
      </c>
    </row>
    <row r="10" spans="1:19" x14ac:dyDescent="0.2">
      <c r="A10" s="33" t="s">
        <v>288</v>
      </c>
      <c r="B10" s="33" t="s">
        <v>312</v>
      </c>
      <c r="C10" s="33" t="s">
        <v>311</v>
      </c>
      <c r="D10" s="33" t="s">
        <v>295</v>
      </c>
      <c r="E10" s="33" t="s">
        <v>310</v>
      </c>
      <c r="F10" s="33" t="s">
        <v>290</v>
      </c>
      <c r="G10" s="33" t="s">
        <v>307</v>
      </c>
      <c r="H10" s="38" t="s">
        <v>263</v>
      </c>
      <c r="I10" s="33" t="s">
        <v>278</v>
      </c>
      <c r="J10" s="33" t="s">
        <v>313</v>
      </c>
      <c r="K10" s="33" t="s">
        <v>253</v>
      </c>
      <c r="L10" s="33" t="s">
        <v>293</v>
      </c>
      <c r="M10" s="33" t="s">
        <v>287</v>
      </c>
      <c r="N10" s="33" t="s">
        <v>292</v>
      </c>
      <c r="O10" s="33" t="s">
        <v>304</v>
      </c>
      <c r="P10" s="39" t="s">
        <v>286</v>
      </c>
      <c r="Q10" s="39" t="s">
        <v>299</v>
      </c>
      <c r="R10" s="39" t="s">
        <v>309</v>
      </c>
      <c r="S10" s="39" t="s">
        <v>285</v>
      </c>
    </row>
    <row r="11" spans="1:19" x14ac:dyDescent="0.2">
      <c r="A11" s="33" t="s">
        <v>286</v>
      </c>
      <c r="B11" s="33" t="s">
        <v>290</v>
      </c>
      <c r="C11" s="33" t="s">
        <v>307</v>
      </c>
      <c r="D11" s="33" t="s">
        <v>288</v>
      </c>
      <c r="E11" s="33" t="s">
        <v>313</v>
      </c>
      <c r="F11" s="33" t="s">
        <v>294</v>
      </c>
      <c r="G11" s="33" t="s">
        <v>312</v>
      </c>
      <c r="H11" s="33" t="s">
        <v>252</v>
      </c>
      <c r="I11" s="33" t="s">
        <v>304</v>
      </c>
      <c r="J11" s="33" t="s">
        <v>259</v>
      </c>
      <c r="K11" s="33" t="s">
        <v>285</v>
      </c>
      <c r="L11" s="33" t="s">
        <v>311</v>
      </c>
      <c r="M11" s="38" t="s">
        <v>263</v>
      </c>
      <c r="N11" s="33" t="s">
        <v>309</v>
      </c>
      <c r="O11" s="33" t="s">
        <v>310</v>
      </c>
      <c r="P11" s="39" t="s">
        <v>308</v>
      </c>
      <c r="Q11" s="39" t="s">
        <v>293</v>
      </c>
      <c r="R11" s="39" t="s">
        <v>292</v>
      </c>
      <c r="S11" s="39" t="s">
        <v>287</v>
      </c>
    </row>
    <row r="12" spans="1:19" x14ac:dyDescent="0.2">
      <c r="A12" s="33" t="s">
        <v>267</v>
      </c>
      <c r="B12" s="33" t="s">
        <v>269</v>
      </c>
      <c r="C12" s="33" t="s">
        <v>265</v>
      </c>
      <c r="D12" s="33" t="s">
        <v>252</v>
      </c>
      <c r="E12" s="33" t="s">
        <v>276</v>
      </c>
      <c r="F12" s="33" t="s">
        <v>307</v>
      </c>
      <c r="G12" s="33" t="s">
        <v>258</v>
      </c>
      <c r="H12" s="33" t="s">
        <v>260</v>
      </c>
      <c r="I12" s="33" t="s">
        <v>315</v>
      </c>
      <c r="J12" s="33" t="s">
        <v>275</v>
      </c>
      <c r="K12" s="33" t="s">
        <v>306</v>
      </c>
      <c r="L12" s="33" t="s">
        <v>282</v>
      </c>
      <c r="M12" s="33" t="s">
        <v>279</v>
      </c>
      <c r="N12" s="33" t="s">
        <v>299</v>
      </c>
      <c r="O12" s="38" t="s">
        <v>263</v>
      </c>
      <c r="P12" s="39" t="s">
        <v>278</v>
      </c>
      <c r="Q12" s="39" t="s">
        <v>301</v>
      </c>
      <c r="R12" s="39" t="s">
        <v>310</v>
      </c>
      <c r="S12" s="39" t="s">
        <v>254</v>
      </c>
    </row>
    <row r="13" spans="1:19" x14ac:dyDescent="0.2">
      <c r="A13" s="33" t="s">
        <v>311</v>
      </c>
      <c r="B13" s="33" t="s">
        <v>272</v>
      </c>
      <c r="C13" s="33" t="s">
        <v>308</v>
      </c>
      <c r="D13" s="33" t="s">
        <v>271</v>
      </c>
      <c r="E13" s="33" t="s">
        <v>261</v>
      </c>
      <c r="F13" s="33" t="s">
        <v>304</v>
      </c>
      <c r="G13" s="33" t="s">
        <v>298</v>
      </c>
      <c r="H13" s="38" t="s">
        <v>263</v>
      </c>
      <c r="I13" s="33" t="s">
        <v>305</v>
      </c>
      <c r="J13" s="33" t="s">
        <v>309</v>
      </c>
      <c r="K13" s="33" t="s">
        <v>270</v>
      </c>
      <c r="L13" s="33" t="s">
        <v>295</v>
      </c>
      <c r="M13" s="33" t="s">
        <v>310</v>
      </c>
      <c r="N13" s="33" t="s">
        <v>277</v>
      </c>
      <c r="O13" s="33" t="s">
        <v>312</v>
      </c>
      <c r="P13" s="39" t="s">
        <v>273</v>
      </c>
      <c r="Q13" s="39" t="s">
        <v>274</v>
      </c>
      <c r="R13" s="39" t="s">
        <v>251</v>
      </c>
      <c r="S13" s="39" t="s">
        <v>313</v>
      </c>
    </row>
    <row r="14" spans="1:19" x14ac:dyDescent="0.2">
      <c r="A14" s="33" t="s">
        <v>296</v>
      </c>
      <c r="B14" s="33" t="s">
        <v>298</v>
      </c>
      <c r="C14" s="33" t="s">
        <v>294</v>
      </c>
      <c r="D14" s="33" t="s">
        <v>285</v>
      </c>
      <c r="E14" s="33" t="s">
        <v>267</v>
      </c>
      <c r="F14" s="33" t="s">
        <v>272</v>
      </c>
      <c r="G14" s="33" t="s">
        <v>254</v>
      </c>
      <c r="H14" s="33" t="s">
        <v>270</v>
      </c>
      <c r="I14" s="33" t="s">
        <v>282</v>
      </c>
      <c r="J14" s="33" t="s">
        <v>258</v>
      </c>
      <c r="K14" s="33" t="s">
        <v>284</v>
      </c>
      <c r="L14" s="33" t="s">
        <v>297</v>
      </c>
      <c r="M14" s="33" t="s">
        <v>261</v>
      </c>
      <c r="N14" s="33" t="s">
        <v>304</v>
      </c>
      <c r="O14" s="38" t="s">
        <v>263</v>
      </c>
      <c r="P14" s="39" t="s">
        <v>275</v>
      </c>
      <c r="Q14" s="39" t="s">
        <v>277</v>
      </c>
      <c r="R14" s="39" t="s">
        <v>252</v>
      </c>
      <c r="S14" s="39" t="s">
        <v>278</v>
      </c>
    </row>
    <row r="15" spans="1:19" x14ac:dyDescent="0.2">
      <c r="A15" s="33" t="s">
        <v>271</v>
      </c>
      <c r="B15" s="33" t="s">
        <v>300</v>
      </c>
      <c r="C15" s="33" t="s">
        <v>256</v>
      </c>
      <c r="D15" s="33" t="s">
        <v>268</v>
      </c>
      <c r="E15" s="33" t="s">
        <v>286</v>
      </c>
      <c r="F15" s="33" t="s">
        <v>280</v>
      </c>
      <c r="G15" s="33" t="s">
        <v>279</v>
      </c>
      <c r="H15" s="33" t="s">
        <v>285</v>
      </c>
      <c r="I15" s="33" t="s">
        <v>266</v>
      </c>
      <c r="J15" s="33" t="s">
        <v>288</v>
      </c>
      <c r="K15" s="33" t="s">
        <v>287</v>
      </c>
      <c r="L15" s="33" t="s">
        <v>283</v>
      </c>
      <c r="M15" s="33" t="s">
        <v>273</v>
      </c>
      <c r="N15" s="33" t="s">
        <v>297</v>
      </c>
      <c r="O15" s="38" t="s">
        <v>263</v>
      </c>
      <c r="P15" s="39" t="s">
        <v>274</v>
      </c>
      <c r="Q15" s="39" t="s">
        <v>304</v>
      </c>
      <c r="R15" s="39" t="s">
        <v>312</v>
      </c>
      <c r="S15" s="39" t="s">
        <v>311</v>
      </c>
    </row>
    <row r="16" spans="1:19" x14ac:dyDescent="0.2">
      <c r="A16" s="33" t="s">
        <v>270</v>
      </c>
      <c r="B16" s="33" t="s">
        <v>271</v>
      </c>
      <c r="C16" s="33" t="s">
        <v>272</v>
      </c>
      <c r="D16" s="33" t="s">
        <v>273</v>
      </c>
      <c r="E16" s="33" t="s">
        <v>274</v>
      </c>
      <c r="F16" s="33" t="s">
        <v>275</v>
      </c>
      <c r="G16" s="38" t="s">
        <v>263</v>
      </c>
      <c r="H16" s="33" t="s">
        <v>276</v>
      </c>
      <c r="I16" s="33" t="s">
        <v>261</v>
      </c>
      <c r="J16" s="33" t="s">
        <v>277</v>
      </c>
      <c r="K16" s="33" t="s">
        <v>268</v>
      </c>
      <c r="L16" s="33" t="s">
        <v>278</v>
      </c>
      <c r="M16" s="33" t="s">
        <v>254</v>
      </c>
      <c r="N16" s="33" t="s">
        <v>279</v>
      </c>
      <c r="O16" s="33" t="s">
        <v>280</v>
      </c>
      <c r="P16" s="39" t="s">
        <v>260</v>
      </c>
      <c r="Q16" s="39" t="s">
        <v>281</v>
      </c>
      <c r="R16" s="39" t="s">
        <v>282</v>
      </c>
      <c r="S16" s="39" t="s">
        <v>283</v>
      </c>
    </row>
    <row r="17" spans="1:19" x14ac:dyDescent="0.2">
      <c r="A17" s="33" t="s">
        <v>274</v>
      </c>
      <c r="B17" s="33" t="s">
        <v>288</v>
      </c>
      <c r="C17" s="33" t="s">
        <v>304</v>
      </c>
      <c r="D17" s="33" t="s">
        <v>282</v>
      </c>
      <c r="E17" s="33" t="s">
        <v>300</v>
      </c>
      <c r="F17" s="33" t="s">
        <v>283</v>
      </c>
      <c r="G17" s="33" t="s">
        <v>286</v>
      </c>
      <c r="H17" s="33" t="s">
        <v>303</v>
      </c>
      <c r="I17" s="33" t="s">
        <v>287</v>
      </c>
      <c r="J17" s="38" t="s">
        <v>263</v>
      </c>
      <c r="K17" s="33" t="s">
        <v>279</v>
      </c>
      <c r="L17" s="33" t="s">
        <v>280</v>
      </c>
      <c r="M17" s="33" t="s">
        <v>269</v>
      </c>
      <c r="N17" s="33" t="s">
        <v>285</v>
      </c>
      <c r="O17" s="33" t="s">
        <v>311</v>
      </c>
      <c r="P17" s="39" t="s">
        <v>313</v>
      </c>
      <c r="Q17" s="39" t="s">
        <v>268</v>
      </c>
      <c r="R17" s="39" t="s">
        <v>271</v>
      </c>
      <c r="S17" s="39" t="s">
        <v>316</v>
      </c>
    </row>
    <row r="18" spans="1:19" x14ac:dyDescent="0.2">
      <c r="A18" s="33" t="s">
        <v>304</v>
      </c>
      <c r="B18" s="33" t="s">
        <v>309</v>
      </c>
      <c r="C18" s="33" t="s">
        <v>312</v>
      </c>
      <c r="D18" s="33" t="s">
        <v>270</v>
      </c>
      <c r="E18" s="33" t="s">
        <v>277</v>
      </c>
      <c r="F18" s="33" t="s">
        <v>268</v>
      </c>
      <c r="G18" s="33" t="s">
        <v>265</v>
      </c>
      <c r="H18" s="33" t="s">
        <v>261</v>
      </c>
      <c r="I18" s="33" t="s">
        <v>295</v>
      </c>
      <c r="J18" s="33" t="s">
        <v>310</v>
      </c>
      <c r="K18" s="38" t="s">
        <v>263</v>
      </c>
      <c r="L18" s="33" t="s">
        <v>272</v>
      </c>
      <c r="M18" s="33" t="s">
        <v>271</v>
      </c>
      <c r="N18" s="33" t="s">
        <v>276</v>
      </c>
      <c r="O18" s="33" t="s">
        <v>308</v>
      </c>
      <c r="P18" s="39" t="s">
        <v>311</v>
      </c>
      <c r="Q18" s="39" t="s">
        <v>313</v>
      </c>
      <c r="R18" s="39" t="s">
        <v>264</v>
      </c>
      <c r="S18" s="39" t="s">
        <v>274</v>
      </c>
    </row>
    <row r="19" spans="1:19" x14ac:dyDescent="0.2">
      <c r="A19" s="33" t="s">
        <v>306</v>
      </c>
      <c r="B19" s="33" t="s">
        <v>299</v>
      </c>
      <c r="C19" s="33" t="s">
        <v>309</v>
      </c>
      <c r="D19" s="33" t="s">
        <v>251</v>
      </c>
      <c r="E19" s="33" t="s">
        <v>292</v>
      </c>
      <c r="F19" s="33" t="s">
        <v>315</v>
      </c>
      <c r="G19" s="33" t="s">
        <v>296</v>
      </c>
      <c r="H19" s="38" t="s">
        <v>263</v>
      </c>
      <c r="I19" s="33" t="s">
        <v>262</v>
      </c>
      <c r="J19" s="33" t="s">
        <v>294</v>
      </c>
      <c r="K19" s="33" t="s">
        <v>314</v>
      </c>
      <c r="L19" s="33" t="s">
        <v>256</v>
      </c>
      <c r="M19" s="33" t="s">
        <v>270</v>
      </c>
      <c r="N19" s="33" t="s">
        <v>255</v>
      </c>
      <c r="O19" s="33" t="s">
        <v>252</v>
      </c>
      <c r="P19" s="39" t="s">
        <v>258</v>
      </c>
      <c r="Q19" s="39" t="s">
        <v>297</v>
      </c>
      <c r="R19" s="39" t="s">
        <v>298</v>
      </c>
      <c r="S19" s="39" t="s">
        <v>267</v>
      </c>
    </row>
    <row r="20" spans="1:19" x14ac:dyDescent="0.2">
      <c r="A20" s="33" t="s">
        <v>275</v>
      </c>
      <c r="B20" s="33" t="s">
        <v>280</v>
      </c>
      <c r="C20" s="33" t="s">
        <v>278</v>
      </c>
      <c r="D20" s="33" t="s">
        <v>287</v>
      </c>
      <c r="E20" s="33" t="s">
        <v>315</v>
      </c>
      <c r="F20" s="33" t="s">
        <v>300</v>
      </c>
      <c r="G20" s="38" t="s">
        <v>263</v>
      </c>
      <c r="H20" s="33" t="s">
        <v>298</v>
      </c>
      <c r="I20" s="33" t="s">
        <v>289</v>
      </c>
      <c r="J20" s="33" t="s">
        <v>314</v>
      </c>
      <c r="K20" s="33" t="s">
        <v>294</v>
      </c>
      <c r="L20" s="33" t="s">
        <v>296</v>
      </c>
      <c r="M20" s="33" t="s">
        <v>299</v>
      </c>
      <c r="N20" s="33" t="s">
        <v>271</v>
      </c>
      <c r="O20" s="33" t="s">
        <v>283</v>
      </c>
      <c r="P20" s="39" t="s">
        <v>276</v>
      </c>
      <c r="Q20" s="39" t="s">
        <v>306</v>
      </c>
      <c r="R20" s="39" t="s">
        <v>279</v>
      </c>
      <c r="S20" s="39" t="s">
        <v>282</v>
      </c>
    </row>
    <row r="21" spans="1:19" x14ac:dyDescent="0.2">
      <c r="A21" s="33" t="s">
        <v>281</v>
      </c>
      <c r="B21" s="33" t="s">
        <v>256</v>
      </c>
      <c r="C21" s="33" t="s">
        <v>303</v>
      </c>
      <c r="D21" s="33" t="s">
        <v>284</v>
      </c>
      <c r="E21" s="33" t="s">
        <v>264</v>
      </c>
      <c r="F21" s="33" t="s">
        <v>305</v>
      </c>
      <c r="G21" s="33" t="s">
        <v>289</v>
      </c>
      <c r="H21" s="33" t="s">
        <v>255</v>
      </c>
      <c r="I21" s="33" t="s">
        <v>271</v>
      </c>
      <c r="J21" s="38" t="s">
        <v>263</v>
      </c>
      <c r="K21" s="33" t="s">
        <v>291</v>
      </c>
      <c r="L21" s="33" t="s">
        <v>257</v>
      </c>
      <c r="M21" s="33" t="s">
        <v>302</v>
      </c>
      <c r="N21" s="33" t="s">
        <v>253</v>
      </c>
      <c r="O21" s="33" t="s">
        <v>287</v>
      </c>
      <c r="P21" s="39" t="s">
        <v>251</v>
      </c>
      <c r="Q21" s="39" t="s">
        <v>300</v>
      </c>
      <c r="R21" s="39" t="s">
        <v>262</v>
      </c>
      <c r="S21" s="39" t="s">
        <v>259</v>
      </c>
    </row>
    <row r="22" spans="1:19" x14ac:dyDescent="0.2">
      <c r="A22" s="33" t="s">
        <v>259</v>
      </c>
      <c r="B22" s="33" t="s">
        <v>277</v>
      </c>
      <c r="C22" s="33" t="s">
        <v>281</v>
      </c>
      <c r="D22" s="33" t="s">
        <v>260</v>
      </c>
      <c r="E22" s="33" t="s">
        <v>293</v>
      </c>
      <c r="F22" s="33" t="s">
        <v>292</v>
      </c>
      <c r="G22" s="33" t="s">
        <v>264</v>
      </c>
      <c r="H22" s="33" t="s">
        <v>274</v>
      </c>
      <c r="I22" s="33" t="s">
        <v>301</v>
      </c>
      <c r="J22" s="33" t="s">
        <v>295</v>
      </c>
      <c r="K22" s="33" t="s">
        <v>269</v>
      </c>
      <c r="L22" s="33" t="s">
        <v>305</v>
      </c>
      <c r="M22" s="33" t="s">
        <v>265</v>
      </c>
      <c r="N22" s="38" t="s">
        <v>263</v>
      </c>
      <c r="O22" s="33" t="s">
        <v>302</v>
      </c>
      <c r="P22" s="39" t="s">
        <v>307</v>
      </c>
      <c r="Q22" s="39" t="s">
        <v>290</v>
      </c>
      <c r="R22" s="39" t="s">
        <v>253</v>
      </c>
      <c r="S22" s="39" t="s">
        <v>266</v>
      </c>
    </row>
    <row r="23" spans="1:19" x14ac:dyDescent="0.2">
      <c r="A23" s="33" t="s">
        <v>261</v>
      </c>
      <c r="B23" s="33" t="s">
        <v>275</v>
      </c>
      <c r="C23" s="33" t="s">
        <v>283</v>
      </c>
      <c r="D23" s="33" t="s">
        <v>299</v>
      </c>
      <c r="E23" s="33" t="s">
        <v>268</v>
      </c>
      <c r="F23" s="33" t="s">
        <v>271</v>
      </c>
      <c r="G23" s="33" t="s">
        <v>253</v>
      </c>
      <c r="H23" s="33" t="s">
        <v>273</v>
      </c>
      <c r="I23" s="33" t="s">
        <v>300</v>
      </c>
      <c r="J23" s="33" t="s">
        <v>278</v>
      </c>
      <c r="K23" s="33" t="s">
        <v>301</v>
      </c>
      <c r="L23" s="33" t="s">
        <v>274</v>
      </c>
      <c r="M23" s="33" t="s">
        <v>276</v>
      </c>
      <c r="N23" s="38" t="s">
        <v>263</v>
      </c>
      <c r="O23" s="33" t="s">
        <v>270</v>
      </c>
      <c r="P23" s="39" t="s">
        <v>282</v>
      </c>
      <c r="Q23" s="39" t="s">
        <v>279</v>
      </c>
      <c r="R23" s="39" t="s">
        <v>277</v>
      </c>
      <c r="S23" s="39" t="s">
        <v>272</v>
      </c>
    </row>
    <row r="24" spans="1:19" x14ac:dyDescent="0.2">
      <c r="A24" s="33" t="s">
        <v>278</v>
      </c>
      <c r="B24" s="33" t="s">
        <v>296</v>
      </c>
      <c r="C24" s="33" t="s">
        <v>297</v>
      </c>
      <c r="D24" s="33" t="s">
        <v>283</v>
      </c>
      <c r="E24" s="33" t="s">
        <v>279</v>
      </c>
      <c r="F24" s="33" t="s">
        <v>299</v>
      </c>
      <c r="G24" s="33" t="s">
        <v>311</v>
      </c>
      <c r="H24" s="33" t="s">
        <v>275</v>
      </c>
      <c r="I24" s="33" t="s">
        <v>308</v>
      </c>
      <c r="J24" s="33" t="s">
        <v>280</v>
      </c>
      <c r="K24" s="33" t="s">
        <v>290</v>
      </c>
      <c r="L24" s="33" t="s">
        <v>300</v>
      </c>
      <c r="M24" s="33" t="s">
        <v>315</v>
      </c>
      <c r="N24" s="33" t="s">
        <v>282</v>
      </c>
      <c r="O24" s="38" t="s">
        <v>263</v>
      </c>
      <c r="P24" s="39" t="s">
        <v>314</v>
      </c>
      <c r="Q24" s="39" t="s">
        <v>294</v>
      </c>
      <c r="R24" s="39" t="s">
        <v>306</v>
      </c>
      <c r="S24" s="39" t="s">
        <v>276</v>
      </c>
    </row>
    <row r="25" spans="1:19" x14ac:dyDescent="0.2">
      <c r="A25" s="33" t="s">
        <v>310</v>
      </c>
      <c r="B25" s="33" t="s">
        <v>284</v>
      </c>
      <c r="C25" s="33" t="s">
        <v>291</v>
      </c>
      <c r="D25" s="33" t="s">
        <v>296</v>
      </c>
      <c r="E25" s="33" t="s">
        <v>308</v>
      </c>
      <c r="F25" s="33" t="s">
        <v>302</v>
      </c>
      <c r="G25" s="33" t="s">
        <v>287</v>
      </c>
      <c r="H25" s="33" t="s">
        <v>271</v>
      </c>
      <c r="I25" s="38" t="s">
        <v>263</v>
      </c>
      <c r="J25" s="33" t="s">
        <v>273</v>
      </c>
      <c r="K25" s="33" t="s">
        <v>286</v>
      </c>
      <c r="L25" s="33" t="s">
        <v>289</v>
      </c>
      <c r="M25" s="33" t="s">
        <v>268</v>
      </c>
      <c r="N25" s="33" t="s">
        <v>274</v>
      </c>
      <c r="O25" s="33" t="s">
        <v>295</v>
      </c>
      <c r="P25" s="39" t="s">
        <v>257</v>
      </c>
      <c r="Q25" s="39" t="s">
        <v>309</v>
      </c>
      <c r="R25" s="39" t="s">
        <v>314</v>
      </c>
      <c r="S25" s="39" t="s">
        <v>288</v>
      </c>
    </row>
    <row r="26" spans="1:19" x14ac:dyDescent="0.2">
      <c r="A26" s="33" t="s">
        <v>265</v>
      </c>
      <c r="B26" s="33" t="s">
        <v>302</v>
      </c>
      <c r="C26" s="33" t="s">
        <v>314</v>
      </c>
      <c r="D26" s="33" t="s">
        <v>279</v>
      </c>
      <c r="E26" s="33" t="s">
        <v>251</v>
      </c>
      <c r="F26" s="33" t="s">
        <v>262</v>
      </c>
      <c r="G26" s="33" t="s">
        <v>273</v>
      </c>
      <c r="H26" s="33" t="s">
        <v>281</v>
      </c>
      <c r="I26" s="33" t="s">
        <v>299</v>
      </c>
      <c r="J26" s="33" t="s">
        <v>315</v>
      </c>
      <c r="K26" s="33" t="s">
        <v>260</v>
      </c>
      <c r="L26" s="38" t="s">
        <v>263</v>
      </c>
      <c r="M26" s="33" t="s">
        <v>303</v>
      </c>
      <c r="N26" s="33" t="s">
        <v>306</v>
      </c>
      <c r="O26" s="33" t="s">
        <v>301</v>
      </c>
      <c r="P26" s="39" t="s">
        <v>269</v>
      </c>
      <c r="Q26" s="39" t="s">
        <v>305</v>
      </c>
      <c r="R26" s="39" t="s">
        <v>307</v>
      </c>
      <c r="S26" s="39" t="s">
        <v>256</v>
      </c>
    </row>
    <row r="27" spans="1:19" x14ac:dyDescent="0.2">
      <c r="A27" s="33" t="s">
        <v>284</v>
      </c>
      <c r="B27" s="33" t="s">
        <v>285</v>
      </c>
      <c r="C27" s="33" t="s">
        <v>286</v>
      </c>
      <c r="D27" s="33" t="s">
        <v>266</v>
      </c>
      <c r="E27" s="33" t="s">
        <v>287</v>
      </c>
      <c r="F27" s="33" t="s">
        <v>267</v>
      </c>
      <c r="G27" s="33" t="s">
        <v>288</v>
      </c>
      <c r="H27" s="33" t="s">
        <v>289</v>
      </c>
      <c r="I27" s="38" t="s">
        <v>263</v>
      </c>
      <c r="J27" s="33" t="s">
        <v>253</v>
      </c>
      <c r="K27" s="33" t="s">
        <v>276</v>
      </c>
      <c r="L27" s="33" t="s">
        <v>264</v>
      </c>
      <c r="M27" s="33" t="s">
        <v>290</v>
      </c>
      <c r="N27" s="33" t="s">
        <v>291</v>
      </c>
      <c r="O27" s="33" t="s">
        <v>257</v>
      </c>
      <c r="P27" s="39" t="s">
        <v>259</v>
      </c>
      <c r="Q27" s="39" t="s">
        <v>292</v>
      </c>
      <c r="R27" s="39" t="s">
        <v>265</v>
      </c>
      <c r="S27" s="39" t="s">
        <v>293</v>
      </c>
    </row>
    <row r="28" spans="1:19" x14ac:dyDescent="0.2">
      <c r="A28" s="33" t="s">
        <v>283</v>
      </c>
      <c r="B28" s="33" t="s">
        <v>259</v>
      </c>
      <c r="C28" s="33" t="s">
        <v>280</v>
      </c>
      <c r="D28" s="33" t="s">
        <v>298</v>
      </c>
      <c r="E28" s="33" t="s">
        <v>304</v>
      </c>
      <c r="F28" s="33" t="s">
        <v>312</v>
      </c>
      <c r="G28" s="38" t="s">
        <v>263</v>
      </c>
      <c r="H28" s="33" t="s">
        <v>262</v>
      </c>
      <c r="I28" s="33" t="s">
        <v>279</v>
      </c>
      <c r="J28" s="33" t="s">
        <v>270</v>
      </c>
      <c r="K28" s="33" t="s">
        <v>252</v>
      </c>
      <c r="L28" s="33" t="s">
        <v>313</v>
      </c>
      <c r="M28" s="33" t="s">
        <v>294</v>
      </c>
      <c r="N28" s="33" t="s">
        <v>311</v>
      </c>
      <c r="O28" s="33" t="s">
        <v>297</v>
      </c>
      <c r="P28" s="39" t="s">
        <v>272</v>
      </c>
      <c r="Q28" s="39" t="s">
        <v>296</v>
      </c>
      <c r="R28" s="39" t="s">
        <v>261</v>
      </c>
      <c r="S28" s="39" t="s">
        <v>300</v>
      </c>
    </row>
    <row r="29" spans="1:19" x14ac:dyDescent="0.2">
      <c r="A29" s="33" t="s">
        <v>269</v>
      </c>
      <c r="B29" s="33" t="s">
        <v>314</v>
      </c>
      <c r="C29" s="33" t="s">
        <v>315</v>
      </c>
      <c r="D29" s="33" t="s">
        <v>305</v>
      </c>
      <c r="E29" s="33" t="s">
        <v>260</v>
      </c>
      <c r="F29" s="33" t="s">
        <v>265</v>
      </c>
      <c r="G29" s="33" t="s">
        <v>291</v>
      </c>
      <c r="H29" s="33" t="s">
        <v>283</v>
      </c>
      <c r="I29" s="33" t="s">
        <v>306</v>
      </c>
      <c r="J29" s="38" t="s">
        <v>263</v>
      </c>
      <c r="K29" s="33" t="s">
        <v>303</v>
      </c>
      <c r="L29" s="33" t="s">
        <v>251</v>
      </c>
      <c r="M29" s="33" t="s">
        <v>312</v>
      </c>
      <c r="N29" s="33" t="s">
        <v>256</v>
      </c>
      <c r="O29" s="33" t="s">
        <v>299</v>
      </c>
      <c r="P29" s="39" t="s">
        <v>255</v>
      </c>
      <c r="Q29" s="39" t="s">
        <v>302</v>
      </c>
      <c r="R29" s="39" t="s">
        <v>281</v>
      </c>
      <c r="S29" s="39" t="s">
        <v>301</v>
      </c>
    </row>
    <row r="30" spans="1:19" x14ac:dyDescent="0.2">
      <c r="A30" s="33" t="s">
        <v>293</v>
      </c>
      <c r="B30" s="33" t="s">
        <v>282</v>
      </c>
      <c r="C30" s="33" t="s">
        <v>310</v>
      </c>
      <c r="D30" s="33" t="s">
        <v>289</v>
      </c>
      <c r="E30" s="33" t="s">
        <v>303</v>
      </c>
      <c r="F30" s="33" t="s">
        <v>309</v>
      </c>
      <c r="G30" s="33" t="s">
        <v>269</v>
      </c>
      <c r="H30" s="38" t="s">
        <v>263</v>
      </c>
      <c r="I30" s="33" t="s">
        <v>257</v>
      </c>
      <c r="J30" s="33" t="s">
        <v>302</v>
      </c>
      <c r="K30" s="33" t="s">
        <v>281</v>
      </c>
      <c r="L30" s="33" t="s">
        <v>308</v>
      </c>
      <c r="M30" s="33" t="s">
        <v>292</v>
      </c>
      <c r="N30" s="33" t="s">
        <v>284</v>
      </c>
      <c r="O30" s="33" t="s">
        <v>305</v>
      </c>
      <c r="P30" s="39" t="s">
        <v>315</v>
      </c>
      <c r="Q30" s="39" t="s">
        <v>295</v>
      </c>
      <c r="R30" s="39" t="s">
        <v>290</v>
      </c>
      <c r="S30" s="39" t="s">
        <v>307</v>
      </c>
    </row>
    <row r="31" spans="1:19" x14ac:dyDescent="0.2">
      <c r="A31" s="33" t="s">
        <v>258</v>
      </c>
      <c r="B31" s="33" t="s">
        <v>306</v>
      </c>
      <c r="C31" s="33" t="s">
        <v>257</v>
      </c>
      <c r="D31" s="33" t="s">
        <v>261</v>
      </c>
      <c r="E31" s="33" t="s">
        <v>282</v>
      </c>
      <c r="F31" s="33" t="s">
        <v>278</v>
      </c>
      <c r="G31" s="33" t="s">
        <v>314</v>
      </c>
      <c r="H31" s="33" t="s">
        <v>301</v>
      </c>
      <c r="I31" s="33" t="s">
        <v>265</v>
      </c>
      <c r="J31" s="33" t="s">
        <v>276</v>
      </c>
      <c r="K31" s="38" t="s">
        <v>263</v>
      </c>
      <c r="L31" s="33" t="s">
        <v>252</v>
      </c>
      <c r="M31" s="33" t="s">
        <v>275</v>
      </c>
      <c r="N31" s="33" t="s">
        <v>267</v>
      </c>
      <c r="O31" s="33" t="s">
        <v>269</v>
      </c>
      <c r="P31" s="39" t="s">
        <v>254</v>
      </c>
      <c r="Q31" s="39" t="s">
        <v>288</v>
      </c>
      <c r="R31" s="39" t="s">
        <v>260</v>
      </c>
      <c r="S31" s="39" t="s">
        <v>315</v>
      </c>
    </row>
    <row r="32" spans="1:19" x14ac:dyDescent="0.2">
      <c r="A32" s="33" t="s">
        <v>315</v>
      </c>
      <c r="B32" s="33" t="s">
        <v>251</v>
      </c>
      <c r="C32" s="33" t="s">
        <v>262</v>
      </c>
      <c r="D32" s="33" t="s">
        <v>267</v>
      </c>
      <c r="E32" s="33" t="s">
        <v>297</v>
      </c>
      <c r="F32" s="33" t="s">
        <v>254</v>
      </c>
      <c r="G32" s="33" t="s">
        <v>294</v>
      </c>
      <c r="H32" s="33" t="s">
        <v>286</v>
      </c>
      <c r="I32" s="33" t="s">
        <v>314</v>
      </c>
      <c r="J32" s="33" t="s">
        <v>255</v>
      </c>
      <c r="K32" s="33" t="s">
        <v>283</v>
      </c>
      <c r="L32" s="33" t="s">
        <v>258</v>
      </c>
      <c r="M32" s="33" t="s">
        <v>298</v>
      </c>
      <c r="N32" s="38" t="s">
        <v>263</v>
      </c>
      <c r="O32" s="33" t="s">
        <v>306</v>
      </c>
      <c r="P32" s="39" t="s">
        <v>291</v>
      </c>
      <c r="Q32" s="39" t="s">
        <v>256</v>
      </c>
      <c r="R32" s="39" t="s">
        <v>296</v>
      </c>
      <c r="S32" s="39" t="s">
        <v>299</v>
      </c>
    </row>
    <row r="33" spans="1:19" x14ac:dyDescent="0.2">
      <c r="A33" s="33" t="s">
        <v>253</v>
      </c>
      <c r="B33" s="33" t="s">
        <v>292</v>
      </c>
      <c r="C33" s="33" t="s">
        <v>301</v>
      </c>
      <c r="D33" s="33" t="s">
        <v>269</v>
      </c>
      <c r="E33" s="33" t="s">
        <v>290</v>
      </c>
      <c r="F33" s="33" t="s">
        <v>281</v>
      </c>
      <c r="G33" s="33" t="s">
        <v>280</v>
      </c>
      <c r="H33" s="38" t="s">
        <v>263</v>
      </c>
      <c r="I33" s="33" t="s">
        <v>311</v>
      </c>
      <c r="J33" s="33" t="s">
        <v>307</v>
      </c>
      <c r="K33" s="33" t="s">
        <v>308</v>
      </c>
      <c r="L33" s="33" t="s">
        <v>259</v>
      </c>
      <c r="M33" s="33" t="s">
        <v>260</v>
      </c>
      <c r="N33" s="33" t="s">
        <v>266</v>
      </c>
      <c r="O33" s="33" t="s">
        <v>293</v>
      </c>
      <c r="P33" s="39" t="s">
        <v>264</v>
      </c>
      <c r="Q33" s="39" t="s">
        <v>265</v>
      </c>
      <c r="R33" s="39" t="s">
        <v>303</v>
      </c>
      <c r="S33" s="39" t="s">
        <v>302</v>
      </c>
    </row>
  </sheetData>
  <hyperlinks>
    <hyperlink ref="A9" r:id="rId1" display="http://www.espn.com/nfl/team/_/name/ari/arizona-cardinals" xr:uid="{68C669E3-3502-964E-833E-218DDDD1CC41}"/>
    <hyperlink ref="B9" r:id="rId2" display="http://www.espn.com/nfl/boxscore/_/gameId/401326311" xr:uid="{73AE26D2-6077-E741-8887-19D4C8384BA5}"/>
    <hyperlink ref="C9" r:id="rId3" display="http://www.espn.com/nfl/boxscore/_/gameId/401326357" xr:uid="{3B00EA34-5187-7142-97A3-4EB04B01F916}"/>
    <hyperlink ref="D9" r:id="rId4" display="http://www.espn.com/nfl/boxscore/_/gameId/401326367" xr:uid="{3C4D12F4-CC7D-7F4A-8C69-D0680E7E5875}"/>
    <hyperlink ref="E9" r:id="rId5" display="http://www.espn.com/nfl/boxscore/_/gameId/401326389" xr:uid="{474507E3-6145-1040-B7A9-8DF4C6D55536}"/>
    <hyperlink ref="F9" r:id="rId6" display="http://www.espn.com/nfl/boxscore/_/gameId/401326406" xr:uid="{4E046F50-BAB9-FA41-AF10-C938C66FC1DF}"/>
    <hyperlink ref="G9" r:id="rId7" display="http://www.espn.com/nfl/boxscore/_/gameId/401326418" xr:uid="{65394849-A104-504E-93DA-545B9FC782A7}"/>
    <hyperlink ref="H9" r:id="rId8" display="http://www.espn.com/nfl/boxscore/_/gameId/401326432" xr:uid="{D651FC64-CA2B-254A-B07A-C6E94A104B81}"/>
    <hyperlink ref="I9" r:id="rId9" display="http://www.espn.com/nfl/boxscore/_/gameId/401326436" xr:uid="{03314F7D-0F40-3B43-9BF4-EE5AB668AD99}"/>
    <hyperlink ref="J9" r:id="rId10" display="http://www.espn.com/nfl/boxscore/_/gameId/401326462" xr:uid="{312DBFB2-FF26-9A43-BFE5-562BD8AF7F50}"/>
    <hyperlink ref="K9" r:id="rId11" display="http://www.espn.com/nfl/boxscore/_/gameId/401326473" xr:uid="{6064033C-9692-1A4C-89E6-005F5EAE4734}"/>
    <hyperlink ref="L9" r:id="rId12" display="http://www.espn.com/nfl/boxscore/_/gameId/401326491" xr:uid="{4CD0965C-363E-5E45-8E9C-9E96FE8EF7DE}"/>
    <hyperlink ref="N9" r:id="rId13" display="http://www.espn.com/nfl/boxscore/_/gameId/401326511" xr:uid="{AAC78B72-23EC-8B40-8223-796EA22AE526}"/>
    <hyperlink ref="O9" r:id="rId14" display="http://www.espn.com/nfl/boxscore/_/gameId/401326536" xr:uid="{B020C07E-4C6A-CE42-9719-CE06748795A6}"/>
    <hyperlink ref="A16" r:id="rId15" display="http://www.espn.com/nfl/team/_/name/atl/atlanta-falcons" xr:uid="{B7B13A09-7725-B241-A6A3-0D980B5A1CF9}"/>
    <hyperlink ref="B16" r:id="rId16" display="http://www.espn.com/nfl/boxscore/_/gameId/401326315" xr:uid="{458C157C-C423-C44D-9821-A2C6CEFC9563}"/>
    <hyperlink ref="C16" r:id="rId17" display="http://www.espn.com/nfl/boxscore/_/gameId/401326358" xr:uid="{B479B498-B515-324B-98A0-A084B0606BA8}"/>
    <hyperlink ref="D16" r:id="rId18" display="http://www.espn.com/nfl/boxscore/_/gameId/401326370" xr:uid="{1B6E8364-70CC-6B4C-BA0F-F54D3DDEA852}"/>
    <hyperlink ref="E16" r:id="rId19" display="http://www.espn.com/nfl/boxscore/_/gameId/401326380" xr:uid="{30BC81A3-40C1-0548-A482-B08A591D144B}"/>
    <hyperlink ref="F16" r:id="rId20" display="http://www.espn.com/nfl/boxscore/_/gameId/401326324" xr:uid="{93F34D23-5DFE-7344-A917-99E24FC7CC53}"/>
    <hyperlink ref="H16" r:id="rId21" display="http://www.espn.com/nfl/boxscore/_/gameId/401326426" xr:uid="{A1EDF64F-F7C1-7545-8135-B5ACD8A15D8C}"/>
    <hyperlink ref="I16" r:id="rId22" display="http://www.espn.com/nfl/boxscore/_/gameId/401326437" xr:uid="{0BB33794-8984-D249-AE45-BF5D037E3F23}"/>
    <hyperlink ref="J16" r:id="rId23" display="http://www.espn.com/nfl/boxscore/_/gameId/401326458" xr:uid="{25E1550D-3DDB-C746-B40C-8D5CDF8BA643}"/>
    <hyperlink ref="K16" r:id="rId24" display="http://www.espn.com/nfl/boxscore/_/gameId/401326466" xr:uid="{C8AB5AC5-45E9-1044-9D10-BB333F011B95}"/>
    <hyperlink ref="L16" r:id="rId25" display="http://www.espn.com/nfl/boxscore/_/gameId/401326479" xr:uid="{A60A2E7D-55C8-0C42-8C08-74620485C224}"/>
    <hyperlink ref="M16" r:id="rId26" display="http://www.espn.com/nfl/boxscore/_/gameId/401326500" xr:uid="{80F73E24-0AB9-0B41-9429-72E96884313A}"/>
    <hyperlink ref="N16" r:id="rId27" display="http://www.espn.com/nfl/boxscore/_/gameId/401326510" xr:uid="{4E8C7E79-7D38-CC44-B3F8-201577183636}"/>
    <hyperlink ref="O16" r:id="rId28" display="http://www.espn.com/nfl/boxscore/_/gameId/401326524" xr:uid="{9C51607B-DE84-314B-94F8-7B6F894EF9B8}"/>
    <hyperlink ref="A27" r:id="rId29" display="http://www.espn.com/nfl/team/_/name/bal/baltimore-ravens" xr:uid="{ADD16ACD-D364-2246-ADE0-F5EA7F91F2A6}"/>
    <hyperlink ref="B27" r:id="rId30" display="http://www.espn.com/nfl/boxscore/_/gameId/401326321" xr:uid="{E90B7FC5-1FF3-B444-ABD7-7A749940F496}"/>
    <hyperlink ref="C27" r:id="rId31" display="http://www.espn.com/nfl/boxscore/_/gameId/401326361" xr:uid="{38A9A417-6CE8-0746-BD65-05618E2AEB9A}"/>
    <hyperlink ref="D27" r:id="rId32" display="http://www.espn.com/nfl/boxscore/_/gameId/401326366" xr:uid="{E0FACB02-89C6-BD4A-9564-28599CC0C16C}"/>
    <hyperlink ref="E27" r:id="rId33" display="http://www.espn.com/nfl/boxscore/_/gameId/401326391" xr:uid="{FC6D3958-04FC-9E46-B1ED-320FD9017BBA}"/>
    <hyperlink ref="F27" r:id="rId34" display="http://www.espn.com/nfl/boxscore/_/gameId/401326409" xr:uid="{03EB3749-6462-894B-9C90-28A8FD93A18E}"/>
    <hyperlink ref="G27" r:id="rId35" display="http://www.espn.com/nfl/boxscore/_/gameId/401326411" xr:uid="{B5576473-9FE0-BF4D-9F6B-5862CBBF9231}"/>
    <hyperlink ref="H27" r:id="rId36" display="http://www.espn.com/nfl/boxscore/_/gameId/401326424" xr:uid="{5F0F9FAD-01CB-BE4F-A009-F84E113CC071}"/>
    <hyperlink ref="J27" r:id="rId37" display="http://www.espn.com/nfl/boxscore/_/gameId/401326452" xr:uid="{2EF7388F-47E8-9D4C-AE30-13C5790A928B}"/>
    <hyperlink ref="K27" r:id="rId38" display="http://www.espn.com/nfl/boxscore/_/gameId/401326465" xr:uid="{F80F5A67-8780-3E48-B941-7F63139210B4}"/>
    <hyperlink ref="L27" r:id="rId39" display="http://www.espn.com/nfl/boxscore/_/gameId/401326482" xr:uid="{9860C9EC-A309-A24D-A284-79129F03E1CD}"/>
    <hyperlink ref="M27" r:id="rId40" display="http://www.espn.com/nfl/boxscore/_/gameId/401326507" xr:uid="{66288669-2E42-714A-84ED-6A9D2AE41DC0}"/>
    <hyperlink ref="N27" r:id="rId41" display="http://www.espn.com/nfl/boxscore/_/gameId/401326520" xr:uid="{0B413A89-4680-744E-98B4-F43CD917D49C}"/>
    <hyperlink ref="O27" r:id="rId42" display="http://www.espn.com/nfl/boxscore/_/gameId/401326526" xr:uid="{5AAB3B84-509A-7C47-947D-ABC4BC09EFBA}"/>
    <hyperlink ref="A5" r:id="rId43" display="http://www.espn.com/nfl/team/_/name/buf/buffalo-bills" xr:uid="{5DF043A2-C583-C943-82B3-A6B4D6721145}"/>
    <hyperlink ref="B5" r:id="rId44" display="http://www.espn.com/nfl/boxscore/_/gameId/401326308" xr:uid="{2CBC2E69-DAC7-164D-81F9-DA0A3DBD4191}"/>
    <hyperlink ref="C5" r:id="rId45" display="http://www.espn.com/nfl/boxscore/_/gameId/401326353" xr:uid="{DBFA205A-1FF5-8E4C-8B41-3864FFF4BD9F}"/>
    <hyperlink ref="D5" r:id="rId46" display="http://www.espn.com/nfl/boxscore/_/gameId/401326364" xr:uid="{29E5CA77-7A84-9145-90BF-9B22005AF878}"/>
    <hyperlink ref="E5" r:id="rId47" display="http://www.espn.com/nfl/boxscore/_/gameId/401326381" xr:uid="{40621AA8-FF45-7E4C-B846-A98724DD8972}"/>
    <hyperlink ref="F5" r:id="rId48" display="http://www.espn.com/nfl/boxscore/_/gameId/401326408" xr:uid="{BE619D64-1914-4A4D-9240-A73691C1808F}"/>
    <hyperlink ref="G5" r:id="rId49" display="http://www.espn.com/nfl/boxscore/_/gameId/401326422" xr:uid="{AA14A47A-AE71-E341-89B0-279B50719670}"/>
    <hyperlink ref="I5" r:id="rId50" display="http://www.espn.com/nfl/boxscore/_/gameId/401326438" xr:uid="{D209B1CC-360C-D049-99AA-D5D5F9603838}"/>
    <hyperlink ref="J5" r:id="rId51" display="http://www.espn.com/nfl/boxscore/_/gameId/401326456" xr:uid="{FE51005F-1300-344D-B386-EC1D33CACD1B}"/>
    <hyperlink ref="K5" r:id="rId52" display="http://www.espn.com/nfl/boxscore/_/gameId/401326469" xr:uid="{067C7265-5F5C-EB4F-A365-1537EB2D443F}"/>
    <hyperlink ref="L5" r:id="rId53" display="http://www.espn.com/nfl/boxscore/_/gameId/401326480" xr:uid="{8967899B-9B40-2240-9A75-84232AE51D9F}"/>
    <hyperlink ref="M5" r:id="rId54" display="http://www.espn.com/nfl/boxscore/_/gameId/401326496" xr:uid="{6F906EB5-8CB5-C840-94DD-9C723006E0B6}"/>
    <hyperlink ref="N5" r:id="rId55" display="http://www.espn.com/nfl/boxscore/_/gameId/401326522" xr:uid="{4D751521-B57A-FF48-A6C0-BD260C421F57}"/>
    <hyperlink ref="O5" r:id="rId56" display="http://www.espn.com/nfl/boxscore/_/gameId/401326534" xr:uid="{50037233-A4D5-D744-9A9A-ABED17676EB3}"/>
    <hyperlink ref="A23" r:id="rId57" display="http://www.espn.com/nfl/team/_/name/car/carolina-panthers" xr:uid="{38E6C67F-C5A0-F54D-A0CA-87C8CDA64548}"/>
    <hyperlink ref="B23" r:id="rId58" display="http://www.espn.com/nfl/boxscore/_/gameId/401326309" xr:uid="{BADD5805-A669-B34C-9402-2FB9370DF856}"/>
    <hyperlink ref="C23" r:id="rId59" display="http://www.espn.com/nfl/boxscore/_/gameId/401326128" xr:uid="{B2E4D379-309B-DA45-AA43-A06DB8F5F50A}"/>
    <hyperlink ref="D23" r:id="rId60" display="http://www.espn.com/nfl/boxscore/_/gameId/401326363" xr:uid="{F768772D-0F49-2D46-9895-91A4108A4A1A}"/>
    <hyperlink ref="E23" r:id="rId61" display="http://www.espn.com/nfl/boxscore/_/gameId/401326383" xr:uid="{6F46314E-C3FC-8E41-9021-9692F78E608C}"/>
    <hyperlink ref="F23" r:id="rId62" display="http://www.espn.com/nfl/boxscore/_/gameId/401326396" xr:uid="{2E585A6D-4BA8-904E-BC41-2FBB45226475}"/>
    <hyperlink ref="G23" r:id="rId63" display="http://www.espn.com/nfl/boxscore/_/gameId/401326412" xr:uid="{18DF83C7-B670-6943-967A-B2AE07CBBACC}"/>
    <hyperlink ref="H23" r:id="rId64" display="http://www.espn.com/nfl/boxscore/_/gameId/401326428" xr:uid="{AEEAC67A-2257-4644-96DF-B500837DF5E4}"/>
    <hyperlink ref="I23" r:id="rId65" display="http://www.espn.com/nfl/boxscore/_/gameId/401326437" xr:uid="{03D28952-CC5F-494C-BCD5-DCDF29A3E82C}"/>
    <hyperlink ref="J23" r:id="rId66" display="http://www.espn.com/nfl/boxscore/_/gameId/401326453" xr:uid="{38ED40A0-C929-0F4D-8F9A-492E9F115D26}"/>
    <hyperlink ref="K23" r:id="rId67" display="http://www.espn.com/nfl/boxscore/_/gameId/401326473" xr:uid="{C468097E-3DAA-1A46-99A6-CDBEF822A9BE}"/>
    <hyperlink ref="L23" r:id="rId68" display="http://www.espn.com/nfl/boxscore/_/gameId/401326481" xr:uid="{8C788E87-8529-E945-A922-FE0DA9FAAA27}"/>
    <hyperlink ref="M23" r:id="rId69" display="http://www.espn.com/nfl/boxscore/_/gameId/401326501" xr:uid="{AFAAB1C6-9656-6F49-9642-977B2140B5B2}"/>
    <hyperlink ref="O23" r:id="rId70" display="http://www.espn.com/nfl/boxscore/_/gameId/401326524" xr:uid="{68875897-E1E8-4E49-A3CD-54AF419D3219}"/>
    <hyperlink ref="A3" r:id="rId71" display="http://www.espn.com/nfl/team/_/name/chi/chicago-bears" xr:uid="{6EE4D929-7D93-1544-9940-FD07FBB2B4B8}"/>
    <hyperlink ref="B3" r:id="rId72" display="http://www.espn.com/nfl/boxscore/_/gameId/401326323" xr:uid="{1ACCA5D0-3441-A444-93D8-165E6BFAD7AD}"/>
    <hyperlink ref="C3" r:id="rId73" display="http://www.espn.com/nfl/boxscore/_/gameId/401326129" xr:uid="{3CD3CDF8-6100-BD45-96B2-28257C4183DA}"/>
    <hyperlink ref="D3" r:id="rId74" display="http://www.espn.com/nfl/boxscore/_/gameId/401326365" xr:uid="{53FEEBF4-EB19-C841-A5D4-2C145E3679A2}"/>
    <hyperlink ref="E3" r:id="rId75" display="http://www.espn.com/nfl/boxscore/_/gameId/401326382" xr:uid="{D96A79C2-6E17-C643-AA63-306E74158DB6}"/>
    <hyperlink ref="F3" r:id="rId76" display="http://www.espn.com/nfl/boxscore/_/gameId/401326405" xr:uid="{6C4C6E22-D633-A044-86E0-CE78B007F342}"/>
    <hyperlink ref="G3" r:id="rId77" display="http://www.espn.com/nfl/boxscore/_/gameId/401326413" xr:uid="{8688832E-4F01-C140-A9EE-B07CF96BF9ED}"/>
    <hyperlink ref="H3" r:id="rId78" display="http://www.espn.com/nfl/boxscore/_/gameId/401326433" xr:uid="{133140EC-D4F0-7C46-B0DC-7F4BC11C94FE}"/>
    <hyperlink ref="I3" r:id="rId79" display="http://www.espn.com/nfl/boxscore/_/gameId/401326439" xr:uid="{2B190F3D-189D-9545-B800-13EA23E36B49}"/>
    <hyperlink ref="J3" r:id="rId80" display="http://www.espn.com/nfl/boxscore/_/gameId/401326464" xr:uid="{787C0238-DDEE-0547-BAC2-A221697E7048}"/>
    <hyperlink ref="L3" r:id="rId81" display="http://www.espn.com/nfl/boxscore/_/gameId/401326482" xr:uid="{10715B09-DC57-354F-A690-BF5A6D3A281A}"/>
    <hyperlink ref="M3" r:id="rId82" display="http://www.espn.com/nfl/boxscore/_/gameId/401326494" xr:uid="{D156B724-DB06-274A-86EA-4F2A3D2C9C48}"/>
    <hyperlink ref="N3" r:id="rId83" display="http://www.espn.com/nfl/boxscore/_/gameId/401326511" xr:uid="{AA302843-D321-5744-900B-556BBF6D37F2}"/>
    <hyperlink ref="O3" r:id="rId84" display="http://www.espn.com/nfl/boxscore/_/gameId/401326535" xr:uid="{4E414E14-2DEC-AC49-9F5F-1B155AE1E34E}"/>
    <hyperlink ref="A4" r:id="rId85" display="http://www.espn.com/nfl/team/_/name/cin/cincinnati-bengals" xr:uid="{E8931815-E9B8-D443-B39C-E6E7A0F4B3E1}"/>
    <hyperlink ref="B4" r:id="rId86" display="http://www.espn.com/nfl/boxscore/_/gameId/401326316" xr:uid="{77B5BD21-B6BB-8746-8C09-3F390E0F287F}"/>
    <hyperlink ref="C4" r:id="rId87" display="http://www.espn.com/nfl/boxscore/_/gameId/401326129" xr:uid="{8CD0D405-787D-0847-B7C3-2F4D7BAAD7DC}"/>
    <hyperlink ref="D4" r:id="rId88" display="http://www.espn.com/nfl/boxscore/_/gameId/401326371" xr:uid="{1DDCF59F-1503-7C47-8A88-256E2A258442}"/>
    <hyperlink ref="E4" r:id="rId89" display="http://www.espn.com/nfl/boxscore/_/gameId/401326379" xr:uid="{4790092F-F772-4D48-AED5-02C6B5C8B1B3}"/>
    <hyperlink ref="F4" r:id="rId90" display="http://www.espn.com/nfl/boxscore/_/gameId/401326397" xr:uid="{FE5B4D98-D21F-9744-BD89-3FFD32C7BCFE}"/>
    <hyperlink ref="G4" r:id="rId91" display="http://www.espn.com/nfl/boxscore/_/gameId/401326414" xr:uid="{FD93ABB4-F63F-CE40-8B57-27E8868AA12D}"/>
    <hyperlink ref="H4" r:id="rId92" display="http://www.espn.com/nfl/boxscore/_/gameId/401326424" xr:uid="{434F156D-3DF4-514E-96F1-66567007A176}"/>
    <hyperlink ref="I4" r:id="rId93" display="http://www.espn.com/nfl/boxscore/_/gameId/401326444" xr:uid="{CD1608FE-B587-1648-982C-7F158D4B4552}"/>
    <hyperlink ref="J4" r:id="rId94" display="http://www.espn.com/nfl/boxscore/_/gameId/401326454" xr:uid="{BFF08C71-92B7-9D4A-AC83-276241F88298}"/>
    <hyperlink ref="L4" r:id="rId95" display="http://www.espn.com/nfl/boxscore/_/gameId/401326489" xr:uid="{72D2F2DA-EFFC-384B-B55F-2E295F0744D3}"/>
    <hyperlink ref="M4" r:id="rId96" display="http://www.espn.com/nfl/boxscore/_/gameId/401326497" xr:uid="{B3F60CA9-960A-5543-AECB-B3F9257B6919}"/>
    <hyperlink ref="N4" r:id="rId97" display="http://www.espn.com/nfl/boxscore/_/gameId/401326512" xr:uid="{C8D4E078-A864-7544-B228-D04B80E8C9E0}"/>
    <hyperlink ref="O4" r:id="rId98" display="http://www.espn.com/nfl/boxscore/_/gameId/401326525" xr:uid="{5298AD9D-222B-3F4B-A65F-507F562EAE9E}"/>
    <hyperlink ref="A7" r:id="rId99" display="http://www.espn.com/nfl/team/_/name/cle/cleveland-browns" xr:uid="{126B0866-5FC8-5442-952B-9D901007B204}"/>
    <hyperlink ref="B7" r:id="rId100" display="http://www.espn.com/nfl/boxscore/_/gameId/401326314" xr:uid="{00CC420C-9D8B-8D48-9F77-8ED107E394DE}"/>
    <hyperlink ref="C7" r:id="rId101" display="http://www.espn.com/nfl/boxscore/_/gameId/401326130" xr:uid="{43A27539-F524-D64F-B94E-D71140185268}"/>
    <hyperlink ref="D7" r:id="rId102" display="http://www.espn.com/nfl/boxscore/_/gameId/401326365" xr:uid="{E0AD3F82-0F70-4B46-881D-D2C8A6A62738}"/>
    <hyperlink ref="E7" r:id="rId103" display="http://www.espn.com/nfl/boxscore/_/gameId/401326385" xr:uid="{2AD4604C-7C10-764F-A3F1-FA22948ADCC6}"/>
    <hyperlink ref="F7" r:id="rId104" display="http://www.espn.com/nfl/boxscore/_/gameId/401326404" xr:uid="{996AA767-AEA5-7B43-80AE-648E973E0A51}"/>
    <hyperlink ref="G7" r:id="rId105" display="http://www.espn.com/nfl/boxscore/_/gameId/401326418" xr:uid="{C6FA350F-7350-BB4F-8D3F-5ED8EBA4558C}"/>
    <hyperlink ref="H7" r:id="rId106" display="http://www.espn.com/nfl/boxscore/_/gameId/401326423" xr:uid="{8DAE4166-4B5C-2E4A-8A50-D72CD15C8555}"/>
    <hyperlink ref="I7" r:id="rId107" display="http://www.espn.com/nfl/boxscore/_/gameId/401326440" xr:uid="{D51BE3F2-7AF9-3249-8C01-8BE59111DC42}"/>
    <hyperlink ref="J7" r:id="rId108" display="http://www.espn.com/nfl/boxscore/_/gameId/401326454" xr:uid="{176135A8-3E24-0340-A328-45C8CE2F9A0B}"/>
    <hyperlink ref="K7" r:id="rId109" display="http://www.espn.com/nfl/boxscore/_/gameId/401326468" xr:uid="{602F46DA-B92B-9A4F-8B82-84AB421467F1}"/>
    <hyperlink ref="L7" r:id="rId110" display="http://www.espn.com/nfl/boxscore/_/gameId/401326483" xr:uid="{949B314B-B61D-834D-A26A-CFC4816785F2}"/>
    <hyperlink ref="M7" r:id="rId111" display="http://www.espn.com/nfl/boxscore/_/gameId/401326507" xr:uid="{58C1FFC0-071C-F549-83EB-96E1E0B34C84}"/>
    <hyperlink ref="O7" r:id="rId112" display="http://www.espn.com/nfl/boxscore/_/gameId/401326526" xr:uid="{DC595278-69D9-A243-8E9C-635C120AC492}"/>
    <hyperlink ref="A13" r:id="rId113" display="http://www.espn.com/nfl/team/_/name/dal/dallas-cowboys" xr:uid="{656700CC-F030-EC4A-AE7A-3C4ACD63ADD1}"/>
    <hyperlink ref="B13" r:id="rId114" display="http://www.espn.com/nfl/boxscore/_/gameId/401326322" xr:uid="{98532EA5-291F-F64B-9704-3BFB96258459}"/>
    <hyperlink ref="C13" r:id="rId115" display="http://www.espn.com/nfl/boxscore/_/gameId/401326359" xr:uid="{87B77704-456E-B64A-A476-B470E6FDB9C8}"/>
    <hyperlink ref="D13" r:id="rId116" display="http://www.espn.com/nfl/boxscore/_/gameId/401326378" xr:uid="{D783F159-2FEF-254B-9EAF-A7C83E20315A}"/>
    <hyperlink ref="E13" r:id="rId117" display="http://www.espn.com/nfl/boxscore/_/gameId/401326383" xr:uid="{37AB2265-50B7-F24D-BEF2-99C03E075CAD}"/>
    <hyperlink ref="F13" r:id="rId118" display="http://www.espn.com/nfl/boxscore/_/gameId/401326407" xr:uid="{D3E6DA0D-B0B1-674C-B035-40298E2789D6}"/>
    <hyperlink ref="G13" r:id="rId119" display="http://www.espn.com/nfl/boxscore/_/gameId/401326420" xr:uid="{4368837D-15F9-914D-ADC0-5085CB5DCF7F}"/>
    <hyperlink ref="I13" r:id="rId120" display="http://www.espn.com/nfl/boxscore/_/gameId/401326449" xr:uid="{AF19F688-87B3-9842-871A-9F3BB9C22522}"/>
    <hyperlink ref="J13" r:id="rId121" display="http://www.espn.com/nfl/boxscore/_/gameId/401326455" xr:uid="{CD7F7503-2DA2-2D4B-9D65-CB1132016495}"/>
    <hyperlink ref="K13" r:id="rId122" display="http://www.espn.com/nfl/boxscore/_/gameId/401326466" xr:uid="{8B461720-7689-6C48-9805-D5B92FA03675}"/>
    <hyperlink ref="L13" r:id="rId123" display="http://www.espn.com/nfl/boxscore/_/gameId/401326490" xr:uid="{4186C828-51D0-FC45-8AC6-BAA5AE9E94D5}"/>
    <hyperlink ref="M13" r:id="rId124" display="http://www.espn.com/nfl/boxscore/_/gameId/401326495" xr:uid="{39768235-AD3E-AF46-AE25-F3140CB63628}"/>
    <hyperlink ref="N13" r:id="rId125" display="http://www.espn.com/nfl/boxscore/_/gameId/401326509" xr:uid="{4F833211-757C-804F-9737-14BEFAB24BFA}"/>
    <hyperlink ref="O13" r:id="rId126" display="http://www.espn.com/nfl/boxscore/_/gameId/401326531" xr:uid="{0DBD525B-69DD-664C-926A-DE581B793958}"/>
    <hyperlink ref="A6" r:id="rId127" display="http://www.espn.com/nfl/team/_/name/den/denver-broncos" xr:uid="{1B9ED6FB-4A00-A040-9AE7-4377D7481994}"/>
    <hyperlink ref="B6" r:id="rId128" display="http://www.espn.com/nfl/boxscore/_/gameId/401326320" xr:uid="{5387582E-D6D6-224A-B4B7-F7F8F1F8C4B3}"/>
    <hyperlink ref="C6" r:id="rId129" display="http://www.espn.com/nfl/boxscore/_/gameId/401326132" xr:uid="{4C63A94A-55D7-B04F-B1E8-2534718D754E}"/>
    <hyperlink ref="D6" r:id="rId130" display="http://www.espn.com/nfl/boxscore/_/gameId/401326373" xr:uid="{5C680BC0-6BE1-B74D-9868-314361BA594B}"/>
    <hyperlink ref="E6" r:id="rId131" display="http://www.espn.com/nfl/boxscore/_/gameId/401326391" xr:uid="{73E51035-4153-5441-94F6-DA38D65B67EA}"/>
    <hyperlink ref="F6" r:id="rId132" display="http://www.espn.com/nfl/boxscore/_/gameId/401326401" xr:uid="{1C6B5374-84BE-9B44-B67C-CCB4B88E286F}"/>
    <hyperlink ref="G6" r:id="rId133" display="http://www.espn.com/nfl/boxscore/_/gameId/401326419" xr:uid="{F348E8F1-B64C-7942-B7CD-4952AD3BE955}"/>
    <hyperlink ref="H6" r:id="rId134" display="http://www.espn.com/nfl/boxscore/_/gameId/401326423" xr:uid="{A7B211D6-87C9-D242-99BD-45A554F2B88C}"/>
    <hyperlink ref="I6" r:id="rId135" display="http://www.espn.com/nfl/boxscore/_/gameId/401326447" xr:uid="{0673A5FE-22B3-544F-A916-4A18494AF4F1}"/>
    <hyperlink ref="J6" r:id="rId136" display="http://www.espn.com/nfl/boxscore/_/gameId/401326455" xr:uid="{B4474B1C-AD1C-654F-ADEF-04B37AE8BDB8}"/>
    <hyperlink ref="K6" r:id="rId137" display="http://www.espn.com/nfl/boxscore/_/gameId/401326475" xr:uid="{D8967F4F-5125-9246-9706-12FCF68F5651}"/>
    <hyperlink ref="M6" r:id="rId138" display="http://www.espn.com/nfl/boxscore/_/gameId/401326504" xr:uid="{F49FDFAF-2B31-1047-9CAF-88CBD369FACD}"/>
    <hyperlink ref="N6" r:id="rId139" display="http://www.espn.com/nfl/boxscore/_/gameId/401326515" xr:uid="{2B64AA01-CAC7-7241-B84E-46AF017B3F6C}"/>
    <hyperlink ref="O6" r:id="rId140" display="http://www.espn.com/nfl/boxscore/_/gameId/401326532" xr:uid="{40EA4434-9172-E348-9F98-1823615266B1}"/>
    <hyperlink ref="A21" r:id="rId141" display="http://www.espn.com/nfl/team/_/name/det/detroit-lions" xr:uid="{EC98E2D1-533D-ED4C-824A-C2AC2402A8D0}"/>
    <hyperlink ref="B21" r:id="rId142" display="http://www.espn.com/nfl/boxscore/_/gameId/401326317" xr:uid="{E044452A-313C-0D47-93E1-915D848F1F42}"/>
    <hyperlink ref="C21" r:id="rId143" display="http://www.espn.com/nfl/boxscore/_/gameId/401326362" xr:uid="{75831DB2-9468-B54B-A18F-F5D224124B18}"/>
    <hyperlink ref="D21" r:id="rId144" display="http://www.espn.com/nfl/boxscore/_/gameId/401326366" xr:uid="{658B1990-F9BE-494B-95B1-BF5146032C46}"/>
    <hyperlink ref="E21" r:id="rId145" display="http://www.espn.com/nfl/boxscore/_/gameId/401326382" xr:uid="{9F949316-67B9-504C-A131-FCDF1F1C0615}"/>
    <hyperlink ref="F21" r:id="rId146" display="http://www.espn.com/nfl/boxscore/_/gameId/401326400" xr:uid="{FB6C5B0B-86A6-8341-9198-8DE14FE1723A}"/>
    <hyperlink ref="G21" r:id="rId147" display="http://www.espn.com/nfl/boxscore/_/gameId/401326414" xr:uid="{50FA1F9C-9904-E448-ADBC-C74B77DA8A24}"/>
    <hyperlink ref="H21" r:id="rId148" display="http://www.espn.com/nfl/boxscore/_/gameId/401326430" xr:uid="{886BBCE9-D11E-8B41-90BC-DAF58C5E8B0E}"/>
    <hyperlink ref="I21" r:id="rId149" display="http://www.espn.com/nfl/boxscore/_/gameId/401326441" xr:uid="{EF6C950E-B8A1-8A44-8395-DF9A3757AF1C}"/>
    <hyperlink ref="K21" r:id="rId150" display="http://www.espn.com/nfl/boxscore/_/gameId/401326470" xr:uid="{85917636-1585-3E42-BF5D-37547CD7F74E}"/>
    <hyperlink ref="L21" r:id="rId151" display="http://www.espn.com/nfl/boxscore/_/gameId/401326483" xr:uid="{A533DF36-60C0-584F-A91D-220E034972FE}"/>
    <hyperlink ref="M21" r:id="rId152" display="http://www.espn.com/nfl/boxscore/_/gameId/401326494" xr:uid="{72B6168F-92D7-AC4B-8AF2-B81D8C91F6AD}"/>
    <hyperlink ref="N21" r:id="rId153" display="http://www.espn.com/nfl/boxscore/_/gameId/401326513" xr:uid="{A9F67804-2490-B448-B06F-A88DE4B34E10}"/>
    <hyperlink ref="O21" r:id="rId154" display="http://www.espn.com/nfl/boxscore/_/gameId/401326532" xr:uid="{40D7A25B-DC11-2148-B5A7-7108D9C50CF0}"/>
    <hyperlink ref="A22" r:id="rId155" display="http://www.espn.com/nfl/team/_/name/gb/green-bay-packers" xr:uid="{6BEC26A7-49E9-FA47-BDDF-63D46851A8D2}"/>
    <hyperlink ref="B22" r:id="rId156" display="http://www.espn.com/nfl/boxscore/_/gameId/401326319" xr:uid="{4D5C4B0B-2C4B-0E4D-985A-A8B84C4A188F}"/>
    <hyperlink ref="C22" r:id="rId157" display="http://www.espn.com/nfl/boxscore/_/gameId/401326362" xr:uid="{D9064F98-7472-EA49-BFCD-C581CE596C76}"/>
    <hyperlink ref="D22" r:id="rId158" display="http://www.espn.com/nfl/boxscore/_/gameId/401326377" xr:uid="{BD44FDEC-E909-AE4B-897C-9940D5FADAF8}"/>
    <hyperlink ref="E22" r:id="rId159" display="http://www.espn.com/nfl/boxscore/_/gameId/401326392" xr:uid="{9CB9CBEA-5DCB-C84D-AA23-07A0331ED4F6}"/>
    <hyperlink ref="F22" r:id="rId160" display="http://www.espn.com/nfl/boxscore/_/gameId/401326397" xr:uid="{0E6AD4B8-2F48-AB4E-9C8A-5783CF75034A}"/>
    <hyperlink ref="G22" r:id="rId161" display="http://www.espn.com/nfl/boxscore/_/gameId/401326413" xr:uid="{90C7343B-735A-9E48-BC92-AC722ECC1A16}"/>
    <hyperlink ref="H22" r:id="rId162" display="http://www.espn.com/nfl/boxscore/_/gameId/401326425" xr:uid="{6D12D343-4460-DC48-A38A-EA51CE7ABDA0}"/>
    <hyperlink ref="I22" r:id="rId163" display="http://www.espn.com/nfl/boxscore/_/gameId/401326436" xr:uid="{9EC93085-A46D-AC43-97C7-C14F297BB8BA}"/>
    <hyperlink ref="J22" r:id="rId164" display="http://www.espn.com/nfl/boxscore/_/gameId/401326461" xr:uid="{35DC97EB-BC10-584E-83B7-FD30AA4FA0AE}"/>
    <hyperlink ref="K22" r:id="rId165" display="http://www.espn.com/nfl/boxscore/_/gameId/401326476" xr:uid="{1F48A0A2-5C90-D340-A1D1-BDAC862C5A56}"/>
    <hyperlink ref="L22" r:id="rId166" display="http://www.espn.com/nfl/boxscore/_/gameId/401326485" xr:uid="{CF630841-34CB-0444-B4C0-CA24DAC0A9D4}"/>
    <hyperlink ref="M22" r:id="rId167" display="http://www.espn.com/nfl/boxscore/_/gameId/401326505" xr:uid="{9B1A7C3B-B197-5A4A-9F3A-956CF6672A8A}"/>
    <hyperlink ref="O22" r:id="rId168" display="http://www.espn.com/nfl/boxscore/_/gameId/401326535" xr:uid="{47BFEB5C-9C71-5040-9969-EF9B2EC41B0A}"/>
    <hyperlink ref="A31" r:id="rId169" display="http://www.espn.com/nfl/team/_/name/hou/houston-texans" xr:uid="{34EEC0E6-F10B-8B41-BBCA-D3CFC8C81B77}"/>
    <hyperlink ref="B31" r:id="rId170" display="http://www.espn.com/nfl/boxscore/_/gameId/401326310" xr:uid="{789A69C6-ADF8-8646-8107-9FFDA22D6141}"/>
    <hyperlink ref="C31" r:id="rId171" display="http://www.espn.com/nfl/boxscore/_/gameId/401326130" xr:uid="{0DAA727C-89B9-2F43-97ED-A89C8D2541EF}"/>
    <hyperlink ref="D31" r:id="rId172" display="http://www.espn.com/nfl/boxscore/_/gameId/401326363" xr:uid="{0081FEA9-ADA2-7F44-ADD2-E727C48B1EA2}"/>
    <hyperlink ref="E31" r:id="rId173" display="http://www.espn.com/nfl/boxscore/_/gameId/401326381" xr:uid="{A565DD4D-7323-FE4F-A689-7A09F24C64C1}"/>
    <hyperlink ref="F31" r:id="rId174" display="http://www.espn.com/nfl/boxscore/_/gameId/401326398" xr:uid="{470C333D-2C93-FF45-AE6C-5907F159F533}"/>
    <hyperlink ref="G31" r:id="rId175" display="http://www.espn.com/nfl/boxscore/_/gameId/401326415" xr:uid="{87440DCF-D540-264C-A8C8-48077035A832}"/>
    <hyperlink ref="H31" r:id="rId176" display="http://www.espn.com/nfl/boxscore/_/gameId/401326432" xr:uid="{1C7F3C1D-999B-4C42-86E3-A974C95F5DE3}"/>
    <hyperlink ref="I31" r:id="rId177" display="http://www.espn.com/nfl/boxscore/_/gameId/401326442" xr:uid="{9F96595D-B72D-184F-95EA-0FA9ADBF61D4}"/>
    <hyperlink ref="J31" r:id="rId178" display="http://www.espn.com/nfl/boxscore/_/gameId/401326457" xr:uid="{DD562878-6C62-434C-81D0-324279D70760}"/>
    <hyperlink ref="L31" r:id="rId179" display="http://www.espn.com/nfl/boxscore/_/gameId/401326488" xr:uid="{1BD14FA2-8FCE-C94F-B275-1EBFDD6FC786}"/>
    <hyperlink ref="M31" r:id="rId180" display="http://www.espn.com/nfl/boxscore/_/gameId/401326498" xr:uid="{4E987F3A-EDF2-AC41-856D-0B517E6C446D}"/>
    <hyperlink ref="N31" r:id="rId181" display="http://www.espn.com/nfl/boxscore/_/gameId/401326514" xr:uid="{B970A58F-40F7-1A4A-9FC5-DDF3750219C6}"/>
    <hyperlink ref="O31" r:id="rId182" display="http://www.espn.com/nfl/boxscore/_/gameId/401326527" xr:uid="{76BA8EEB-47F3-6742-96CC-20123CD7656C}"/>
    <hyperlink ref="A12" r:id="rId183" display="http://www.espn.com/nfl/team/_/name/ind/indianapolis-colts" xr:uid="{6B99A088-15C2-C24E-80A5-5DC92835CEEE}"/>
    <hyperlink ref="B12" r:id="rId184" display="http://www.espn.com/nfl/boxscore/_/gameId/401326318" xr:uid="{9DC3C903-B145-4E46-86BB-F5CDACB80940}"/>
    <hyperlink ref="C12" r:id="rId185" display="http://www.espn.com/nfl/boxscore/_/gameId/401326131" xr:uid="{7F1AEFE2-31C5-B648-A492-6E6525DBA1AF}"/>
    <hyperlink ref="D12" r:id="rId186" display="http://www.espn.com/nfl/boxscore/_/gameId/401326372" xr:uid="{3BA6D7AF-F22E-2C4B-BF9D-12B287069BF6}"/>
    <hyperlink ref="E12" r:id="rId187" display="http://www.espn.com/nfl/boxscore/_/gameId/401326384" xr:uid="{678A61E6-BA9A-7D41-9889-85819083E744}"/>
    <hyperlink ref="F12" r:id="rId188" display="http://www.espn.com/nfl/boxscore/_/gameId/401326409" xr:uid="{D52D32FC-0552-6F4F-8EB4-F79E38E16B1C}"/>
    <hyperlink ref="G12" r:id="rId189" display="http://www.espn.com/nfl/boxscore/_/gameId/401326415" xr:uid="{D75ED516-EB3C-4D48-91E9-F3C78CAC6D64}"/>
    <hyperlink ref="H12" r:id="rId190" display="http://www.espn.com/nfl/boxscore/_/gameId/401326434" xr:uid="{6CFBE0AA-CF6F-4E45-82AE-47CF5890F08B}"/>
    <hyperlink ref="I12" r:id="rId191" display="http://www.espn.com/nfl/boxscore/_/gameId/401326443" xr:uid="{D1DFB73B-E710-2C44-BCF9-6EAF3A7CAF27}"/>
    <hyperlink ref="J12" r:id="rId192" display="http://www.espn.com/nfl/boxscore/_/gameId/401326451" xr:uid="{70898AED-C527-4441-8F1B-F07300D53161}"/>
    <hyperlink ref="K12" r:id="rId193" display="http://www.espn.com/nfl/boxscore/_/gameId/401326467" xr:uid="{ED3BB9BC-D459-1F4C-9906-68CAD16FDF3A}"/>
    <hyperlink ref="L12" r:id="rId194" display="http://www.espn.com/nfl/boxscore/_/gameId/401326480" xr:uid="{973D3C3E-0B9A-2F4B-89B6-E868E4B911BD}"/>
    <hyperlink ref="M12" r:id="rId195" display="http://www.espn.com/nfl/boxscore/_/gameId/401326499" xr:uid="{5B0816C3-4A68-A344-8A71-245FF39A1365}"/>
    <hyperlink ref="N12" r:id="rId196" display="http://www.espn.com/nfl/boxscore/_/gameId/401326514" xr:uid="{01B354E1-27CA-414B-A4D6-AF29805B81F6}"/>
    <hyperlink ref="A19" r:id="rId197" display="http://www.espn.com/nfl/team/_/name/jax/jacksonville-jaguars" xr:uid="{C1E53F2B-0E39-584D-B5A5-594ACC8F4E97}"/>
    <hyperlink ref="B19" r:id="rId198" display="http://www.espn.com/nfl/boxscore/_/gameId/401326310" xr:uid="{1C1D087F-9439-8A41-99E9-C4DDE22E1BA2}"/>
    <hyperlink ref="C19" r:id="rId199" display="http://www.espn.com/nfl/boxscore/_/gameId/401326132" xr:uid="{5A076683-4F63-414E-87E9-BA0FC3679D0D}"/>
    <hyperlink ref="D19" r:id="rId200" display="http://www.espn.com/nfl/boxscore/_/gameId/401326367" xr:uid="{880906E2-2857-5D40-9042-F08BAC67263A}"/>
    <hyperlink ref="E19" r:id="rId201" display="http://www.espn.com/nfl/boxscore/_/gameId/401326379" xr:uid="{03A06B83-9ED5-334A-AE72-FB7D1DF71571}"/>
    <hyperlink ref="F19" r:id="rId202" display="http://www.espn.com/nfl/boxscore/_/gameId/401326399" xr:uid="{278AC441-10FD-D54C-8893-DDF27B4291DD}"/>
    <hyperlink ref="G19" r:id="rId203" display="http://www.espn.com/nfl/boxscore/_/gameId/401326325" xr:uid="{096D6FC9-4959-C448-A5A1-13005833D54D}"/>
    <hyperlink ref="I19" r:id="rId204" display="http://www.espn.com/nfl/boxscore/_/gameId/401326446" xr:uid="{004F59CA-3D6B-3A4B-A43B-B077EBEB49D9}"/>
    <hyperlink ref="J19" r:id="rId205" display="http://www.espn.com/nfl/boxscore/_/gameId/401326456" xr:uid="{90C81D41-361A-884E-8FF1-DD547F64A8B1}"/>
    <hyperlink ref="K19" r:id="rId206" display="http://www.espn.com/nfl/boxscore/_/gameId/401326467" xr:uid="{F6415C79-AF5F-FB41-A460-6E4BA5B232DE}"/>
    <hyperlink ref="L19" r:id="rId207" display="http://www.espn.com/nfl/boxscore/_/gameId/401326484" xr:uid="{095075F6-1FD0-BF43-9FB4-6B2D3DC3A381}"/>
    <hyperlink ref="M19" r:id="rId208" display="http://www.espn.com/nfl/boxscore/_/gameId/401326500" xr:uid="{B1489A75-2770-2045-BB83-E3128D5E495F}"/>
    <hyperlink ref="N19" r:id="rId209" display="http://www.espn.com/nfl/boxscore/_/gameId/401326519" xr:uid="{DC353737-D952-1D4F-A8D3-C05C43D57D3E}"/>
    <hyperlink ref="O19" r:id="rId210" display="http://www.espn.com/nfl/boxscore/_/gameId/401326530" xr:uid="{671946FC-3474-194F-A9C0-335662216ED9}"/>
    <hyperlink ref="A11" r:id="rId211" display="http://www.espn.com/nfl/team/_/name/kc/kansas-city-chiefs" xr:uid="{B34C9883-D9F4-2542-8A25-80F6F448C579}"/>
    <hyperlink ref="B11" r:id="rId212" display="http://www.espn.com/nfl/boxscore/_/gameId/401326314" xr:uid="{BD74DA6B-AA30-FB41-ADB2-2487BC26A8EF}"/>
    <hyperlink ref="C11" r:id="rId213" display="http://www.espn.com/nfl/boxscore/_/gameId/401326361" xr:uid="{2824FFED-580E-BD41-8C6A-A4E09331D330}"/>
    <hyperlink ref="D11" r:id="rId214" display="http://www.espn.com/nfl/boxscore/_/gameId/401326368" xr:uid="{2DD21422-B263-B544-BB19-EFACB2335818}"/>
    <hyperlink ref="E11" r:id="rId215" display="http://www.espn.com/nfl/boxscore/_/gameId/401326388" xr:uid="{B81DF8FB-F79F-C447-964D-F70F8BE94DC8}"/>
    <hyperlink ref="F11" r:id="rId216" display="http://www.espn.com/nfl/boxscore/_/gameId/401326408" xr:uid="{A70E1F67-E35D-DA41-95B5-F328DCBEF69C}"/>
    <hyperlink ref="G11" r:id="rId217" display="http://www.espn.com/nfl/boxscore/_/gameId/401326417" xr:uid="{4A7B237F-1A6F-D94A-A071-497EAE94346B}"/>
    <hyperlink ref="H11" r:id="rId218" display="http://www.espn.com/nfl/boxscore/_/gameId/401326429" xr:uid="{6F678EE3-A52E-274C-ACA3-048B9ED87C8E}"/>
    <hyperlink ref="I11" r:id="rId219" display="http://www.espn.com/nfl/boxscore/_/gameId/401326450" xr:uid="{81D29D03-5F27-D947-8CE2-709908F13640}"/>
    <hyperlink ref="J11" r:id="rId220" display="http://www.espn.com/nfl/boxscore/_/gameId/401326461" xr:uid="{BA7FCD2B-F80E-5849-985C-FE472B2AF42F}"/>
    <hyperlink ref="K11" r:id="rId221" display="http://www.espn.com/nfl/boxscore/_/gameId/401326477" xr:uid="{73BF267C-ED0D-2D4E-B1B1-589D55A6DB1B}"/>
    <hyperlink ref="L11" r:id="rId222" display="http://www.espn.com/nfl/boxscore/_/gameId/401326490" xr:uid="{E1F31207-9B58-B841-BF1B-D75F89B4BC35}"/>
    <hyperlink ref="N11" r:id="rId223" display="http://www.espn.com/nfl/boxscore/_/gameId/401326515" xr:uid="{6754CAC4-F4B0-9A46-A927-31FC88CA10D0}"/>
    <hyperlink ref="O11" r:id="rId224" display="http://www.espn.com/nfl/boxscore/_/gameId/401326528" xr:uid="{67A6820D-1D88-584C-943A-410A66F80C33}"/>
    <hyperlink ref="A25" r:id="rId225" display="http://www.espn.com/nfl/team/_/name/lv/las-vegas-raiders" xr:uid="{0C04B06C-413F-C444-A1E2-BDEA203F6E39}"/>
    <hyperlink ref="B25" r:id="rId226" display="http://www.espn.com/nfl/boxscore/_/gameId/401326321" xr:uid="{1883CB33-6CEE-1841-9ABB-25137F6390AB}"/>
    <hyperlink ref="C25" r:id="rId227" display="http://www.espn.com/nfl/boxscore/_/gameId/401326356" xr:uid="{1E3D4CEA-1A3F-EA46-A4F1-18AB70E0BDA0}"/>
    <hyperlink ref="D25" r:id="rId228" display="http://www.espn.com/nfl/boxscore/_/gameId/401326374" xr:uid="{14AD69A1-8F4A-AB44-875A-336D76EB6223}"/>
    <hyperlink ref="E25" r:id="rId229" display="http://www.espn.com/nfl/boxscore/_/gameId/401326394" xr:uid="{5608FBFA-6D5E-E243-B86A-055BEA04EAEF}"/>
    <hyperlink ref="F25" r:id="rId230" display="http://www.espn.com/nfl/boxscore/_/gameId/401326405" xr:uid="{299D4668-6861-9741-9BBC-2B3AD7D1C2EE}"/>
    <hyperlink ref="G25" r:id="rId231" display="http://www.espn.com/nfl/boxscore/_/gameId/401326419" xr:uid="{8DE29E4A-F36C-024F-A9F9-04EBB366866D}"/>
    <hyperlink ref="H25" r:id="rId232" display="http://www.espn.com/nfl/boxscore/_/gameId/401326431" xr:uid="{B6AC04A5-4453-D74C-9AD0-BA47F3CFC8E8}"/>
    <hyperlink ref="J25" r:id="rId233" display="http://www.espn.com/nfl/boxscore/_/gameId/401326459" xr:uid="{A3E7FBD2-2C84-E74F-B299-5E2994071811}"/>
    <hyperlink ref="K25" r:id="rId234" display="http://www.espn.com/nfl/boxscore/_/gameId/401326477" xr:uid="{1057A242-EEED-474A-92C1-DB51D07C4A82}"/>
    <hyperlink ref="L25" r:id="rId235" display="http://www.espn.com/nfl/boxscore/_/gameId/401326489" xr:uid="{81400EB1-7CEF-D947-B2BE-27462337D309}"/>
    <hyperlink ref="M25" r:id="rId236" display="http://www.espn.com/nfl/boxscore/_/gameId/401326495" xr:uid="{06EF33F3-8C65-254F-BE0E-5E50C76F9CFC}"/>
    <hyperlink ref="N25" r:id="rId237" display="http://www.espn.com/nfl/boxscore/_/gameId/401326518" xr:uid="{3DB616EB-2724-5D43-8242-34BB218219AD}"/>
    <hyperlink ref="O25" r:id="rId238" display="http://www.espn.com/nfl/boxscore/_/gameId/401326528" xr:uid="{CC8F4511-F91A-324C-B36B-7B9B1879A761}"/>
    <hyperlink ref="A26" r:id="rId239" display="http://www.espn.com/nfl/team/_/name/lar/los-angeles-rams" xr:uid="{A5359D99-D97C-5B43-AD75-04BBE90B90D4}"/>
    <hyperlink ref="B26" r:id="rId240" display="http://www.espn.com/nfl/boxscore/_/gameId/401326323" xr:uid="{7A0AFC6A-F7BE-E84E-9C87-F010BCC515B2}"/>
    <hyperlink ref="C26" r:id="rId241" display="http://www.espn.com/nfl/boxscore/_/gameId/401326131" xr:uid="{714C9563-4C0D-0E43-9D6B-2E1C66B006C0}"/>
    <hyperlink ref="D26" r:id="rId242" display="http://www.espn.com/nfl/boxscore/_/gameId/401326375" xr:uid="{1B092B64-6C82-EB46-B981-93F1E96E08F8}"/>
    <hyperlink ref="E26" r:id="rId243" display="http://www.espn.com/nfl/boxscore/_/gameId/401326389" xr:uid="{85149FA8-DA8A-CC41-B9EA-E55F42DA690E}"/>
    <hyperlink ref="F26" r:id="rId244" display="http://www.espn.com/nfl/boxscore/_/gameId/401326395" xr:uid="{E27CB799-813B-B449-9302-1C663CA654C7}"/>
    <hyperlink ref="G26" r:id="rId245" display="http://www.espn.com/nfl/boxscore/_/gameId/401326416" xr:uid="{8E0CFC00-781C-9542-B5F8-508C55026F6D}"/>
    <hyperlink ref="H26" r:id="rId246" display="http://www.espn.com/nfl/boxscore/_/gameId/401326430" xr:uid="{7F94CF18-D47D-854D-B965-3BD9EBD99D2C}"/>
    <hyperlink ref="I26" r:id="rId247" display="http://www.espn.com/nfl/boxscore/_/gameId/401326442" xr:uid="{9BCCE8C9-E555-0E41-8FC7-210A88DC574D}"/>
    <hyperlink ref="J26" r:id="rId248" display="http://www.espn.com/nfl/boxscore/_/gameId/401326463" xr:uid="{46B7502C-2C23-3048-B633-467F717BC5A9}"/>
    <hyperlink ref="K26" r:id="rId249" display="http://www.espn.com/nfl/boxscore/_/gameId/401326478" xr:uid="{C1849E69-13F6-AE46-A185-D0DDEB169550}"/>
    <hyperlink ref="M26" r:id="rId250" display="http://www.espn.com/nfl/boxscore/_/gameId/401326505" xr:uid="{CE9FC062-2AA4-5249-B5D5-CC87BA631524}"/>
    <hyperlink ref="N26" r:id="rId251" display="http://www.espn.com/nfl/boxscore/_/gameId/401326519" xr:uid="{D8FB3475-D102-AD4F-9945-4BA86A7CD59E}"/>
    <hyperlink ref="O26" r:id="rId252" display="http://www.espn.com/nfl/boxscore/_/gameId/401326536" xr:uid="{93786921-E7FC-3640-9320-CFAF05397E84}"/>
    <hyperlink ref="A10" r:id="rId253" display="http://www.espn.com/nfl/team/_/name/lac/los-angeles-chargers" xr:uid="{8D024707-8034-0545-9426-A350B1EEE704}"/>
    <hyperlink ref="B10" r:id="rId254" display="http://www.espn.com/nfl/boxscore/_/gameId/401326312" xr:uid="{67762C97-C76B-DD4B-90C7-DAB4A4AA29DE}"/>
    <hyperlink ref="C10" r:id="rId255" display="http://www.espn.com/nfl/boxscore/_/gameId/401326359" xr:uid="{8A8495EB-69C0-6446-8F67-9EC29DF30CEC}"/>
    <hyperlink ref="D10" r:id="rId256" display="http://www.espn.com/nfl/boxscore/_/gameId/401326368" xr:uid="{79EA1DBC-1F5C-B849-9445-832F188A4E05}"/>
    <hyperlink ref="E10" r:id="rId257" display="http://www.espn.com/nfl/boxscore/_/gameId/401326394" xr:uid="{29DCF4CF-5823-C140-8316-A2973817115F}"/>
    <hyperlink ref="F10" r:id="rId258" display="http://www.espn.com/nfl/boxscore/_/gameId/401326404" xr:uid="{4809B732-4D08-2F4E-AF9B-53AE6E9A3738}"/>
    <hyperlink ref="G10" r:id="rId259" display="http://www.espn.com/nfl/boxscore/_/gameId/401326411" xr:uid="{E34A6AF8-5CD0-B944-A049-D50166C936D4}"/>
    <hyperlink ref="I10" r:id="rId260" display="http://www.espn.com/nfl/boxscore/_/gameId/401326445" xr:uid="{DEBFF889-8423-3F4E-B164-1EEC663EE726}"/>
    <hyperlink ref="J10" r:id="rId261" display="http://www.espn.com/nfl/boxscore/_/gameId/401326460" xr:uid="{2416BC4F-8BC5-2542-B3F7-ECC82AF16CC0}"/>
    <hyperlink ref="K10" r:id="rId262" display="http://www.espn.com/nfl/boxscore/_/gameId/401326474" xr:uid="{32B8D089-9DBE-0A40-8BCF-D1ACAFFB562D}"/>
    <hyperlink ref="L10" r:id="rId263" display="http://www.espn.com/nfl/boxscore/_/gameId/401326492" xr:uid="{E293E728-FEE3-E042-83A4-75AA3BA054B7}"/>
    <hyperlink ref="M10" r:id="rId264" display="http://www.espn.com/nfl/boxscore/_/gameId/401326504" xr:uid="{AFE2C69E-23AD-464E-94E3-707983E4ED08}"/>
    <hyperlink ref="N10" r:id="rId265" display="http://www.espn.com/nfl/boxscore/_/gameId/401326512" xr:uid="{B0538806-C3C7-2D42-A2CC-C95E221DEF04}"/>
    <hyperlink ref="O10" r:id="rId266" display="http://www.espn.com/nfl/boxscore/_/gameId/401326533" xr:uid="{62F787B7-0CEB-D745-A2B5-08D3601FDBD5}"/>
    <hyperlink ref="A14" r:id="rId267" display="http://www.espn.com/nfl/team/_/name/mia/miami-dolphins" xr:uid="{52098B1C-899B-594F-A0B0-AD562F6CB774}"/>
    <hyperlink ref="B14" r:id="rId268" display="http://www.espn.com/nfl/boxscore/_/gameId/401326313" xr:uid="{6F0BABAB-E1B9-4E41-BA8F-5AC9BED39D29}"/>
    <hyperlink ref="C14" r:id="rId269" display="http://www.espn.com/nfl/boxscore/_/gameId/401326353" xr:uid="{7070224D-62A7-A340-9DF1-40FD02307196}"/>
    <hyperlink ref="D14" r:id="rId270" display="http://www.espn.com/nfl/boxscore/_/gameId/401326374" xr:uid="{CF056CA3-E26A-0D4D-9B56-9B604FED15C1}"/>
    <hyperlink ref="E14" r:id="rId271" display="http://www.espn.com/nfl/boxscore/_/gameId/401326384" xr:uid="{7108E7F4-AED3-2944-959F-3FAB882CB4F8}"/>
    <hyperlink ref="F14" r:id="rId272" display="http://www.espn.com/nfl/boxscore/_/gameId/401326402" xr:uid="{05791987-3F52-1444-8346-063EFA11DCB3}"/>
    <hyperlink ref="G14" r:id="rId273" display="http://www.espn.com/nfl/boxscore/_/gameId/401326325" xr:uid="{ED39E798-0441-FB45-B931-EAC6C86EEFDB}"/>
    <hyperlink ref="H14" r:id="rId274" display="http://www.espn.com/nfl/boxscore/_/gameId/401326426" xr:uid="{BA52502C-F3C8-9B4F-9863-C696A488F61F}"/>
    <hyperlink ref="I14" r:id="rId275" display="http://www.espn.com/nfl/boxscore/_/gameId/401326438" xr:uid="{9DADF093-B5D9-A543-8347-9E575AE5AC83}"/>
    <hyperlink ref="J14" r:id="rId276" display="http://www.espn.com/nfl/boxscore/_/gameId/401326457" xr:uid="{C2564B5F-C491-634F-AE02-2A6663D0AC8E}"/>
    <hyperlink ref="K14" r:id="rId277" display="http://www.espn.com/nfl/boxscore/_/gameId/401326465" xr:uid="{0D5CEFA1-0F50-5949-B209-70C718C1ECA2}"/>
    <hyperlink ref="L14" r:id="rId278" display="http://www.espn.com/nfl/boxscore/_/gameId/401326486" xr:uid="{B379D1D5-1C23-BB40-BDB4-7EE55EDA4472}"/>
    <hyperlink ref="M14" r:id="rId279" display="http://www.espn.com/nfl/boxscore/_/gameId/401326501" xr:uid="{0CD7EB72-60C3-644C-9DC4-FAF6074B7255}"/>
    <hyperlink ref="N14" r:id="rId280" display="http://www.espn.com/nfl/boxscore/_/gameId/401326516" xr:uid="{8A62FF73-140D-5B42-8A30-FC312882CA09}"/>
    <hyperlink ref="A33" r:id="rId281" display="http://www.espn.com/nfl/team/_/name/min/minnesota-vikings" xr:uid="{E4A06C1B-A437-4748-BBC1-2EB41F3FDD2E}"/>
    <hyperlink ref="B33" r:id="rId282" display="http://www.espn.com/nfl/boxscore/_/gameId/401326316" xr:uid="{C2A1ACB0-8180-114B-A684-F144DF8C9423}"/>
    <hyperlink ref="C33" r:id="rId283" display="http://www.espn.com/nfl/boxscore/_/gameId/401326357" xr:uid="{67D44EB5-284D-BF44-AEC7-57B6DBB105FF}"/>
    <hyperlink ref="D33" r:id="rId284" display="http://www.espn.com/nfl/boxscore/_/gameId/401326376" xr:uid="{15AE6EC8-324D-9245-B80C-B17943A2EB3F}"/>
    <hyperlink ref="E33" r:id="rId285" display="http://www.espn.com/nfl/boxscore/_/gameId/401326385" xr:uid="{708F6CE0-9808-964A-B4C7-E4373EF3D2B5}"/>
    <hyperlink ref="F33" r:id="rId286" display="http://www.espn.com/nfl/boxscore/_/gameId/401326400" xr:uid="{029FA343-8D91-5B4B-B67A-A28C5135776C}"/>
    <hyperlink ref="G33" r:id="rId287" display="http://www.espn.com/nfl/boxscore/_/gameId/401326412" xr:uid="{3769FDA7-5B80-014A-B301-C0D7FDEADF3C}"/>
    <hyperlink ref="I33" r:id="rId288" display="http://www.espn.com/nfl/boxscore/_/gameId/401326449" xr:uid="{97E3E0B8-A935-6844-B59F-D9B17FA1E5FD}"/>
    <hyperlink ref="J33" r:id="rId289" display="http://www.espn.com/nfl/boxscore/_/gameId/401326452" xr:uid="{676E084A-893D-1840-BE1C-DB67C7C777E8}"/>
    <hyperlink ref="K33" r:id="rId290" display="http://www.espn.com/nfl/boxscore/_/gameId/401326474" xr:uid="{AE2B6C5C-6449-B24C-B34F-A0E6D3F70E00}"/>
    <hyperlink ref="L33" r:id="rId291" display="http://www.espn.com/nfl/boxscore/_/gameId/401326485" xr:uid="{C588391D-741A-EC4C-8608-195FE10A49B2}"/>
    <hyperlink ref="M33" r:id="rId292" display="http://www.espn.com/nfl/boxscore/_/gameId/401326506" xr:uid="{36A094BC-E9C7-6149-9FAC-F6CC1AC38332}"/>
    <hyperlink ref="N33" r:id="rId293" display="http://www.espn.com/nfl/boxscore/_/gameId/401326513" xr:uid="{B942417F-A3B0-5347-A8B3-02449F5CBD1A}"/>
    <hyperlink ref="O33" r:id="rId294" display="http://www.espn.com/nfl/boxscore/_/gameId/401326523" xr:uid="{A0031BD4-ADC7-2C49-AA1D-84C0AAA92B45}"/>
    <hyperlink ref="A24" r:id="rId295" display="http://www.espn.com/nfl/team/_/name/ne/new-england-patriots" xr:uid="{0BE4539D-39FF-394A-A8F2-9D7DBE97B67C}"/>
    <hyperlink ref="B24" r:id="rId296" display="http://www.espn.com/nfl/boxscore/_/gameId/401326313" xr:uid="{5D6761FA-279F-0D40-BB37-C612F41206A5}"/>
    <hyperlink ref="C24" r:id="rId297" display="http://www.espn.com/nfl/boxscore/_/gameId/401326354" xr:uid="{240EB642-3DEE-8B45-9B7F-1D85A590E036}"/>
    <hyperlink ref="D24" r:id="rId298" display="http://www.espn.com/nfl/boxscore/_/gameId/401326369" xr:uid="{F24042B9-5D86-A54A-8C8C-93A4322259C6}"/>
    <hyperlink ref="E24" r:id="rId299" display="http://www.espn.com/nfl/boxscore/_/gameId/401326393" xr:uid="{3E07B338-4F05-0245-A637-C445BC088C82}"/>
    <hyperlink ref="F24" r:id="rId300" display="http://www.espn.com/nfl/boxscore/_/gameId/401326398" xr:uid="{316513DF-105D-744E-9B19-D3F36C3E8555}"/>
    <hyperlink ref="G24" r:id="rId301" display="http://www.espn.com/nfl/boxscore/_/gameId/401326420" xr:uid="{38185EF8-4521-D74E-98F2-8C3CC2C70DEE}"/>
    <hyperlink ref="H24" r:id="rId302" display="http://www.espn.com/nfl/boxscore/_/gameId/401326427" xr:uid="{403EEDBD-897C-6C43-B255-92B837C114C0}"/>
    <hyperlink ref="I24" r:id="rId303" display="http://www.espn.com/nfl/boxscore/_/gameId/401326445" xr:uid="{A2CFC61D-3B7C-D84B-83BF-CE655273C102}"/>
    <hyperlink ref="J24" r:id="rId304" display="http://www.espn.com/nfl/boxscore/_/gameId/401326453" xr:uid="{79A1FA7D-7B27-A549-8971-0D02AE72A23C}"/>
    <hyperlink ref="K24" r:id="rId305" display="http://www.espn.com/nfl/boxscore/_/gameId/401326468" xr:uid="{7D28DCAD-294C-F64F-AEEC-4A72EBAE3CA0}"/>
    <hyperlink ref="L24" r:id="rId306" display="http://www.espn.com/nfl/boxscore/_/gameId/401326479" xr:uid="{9500E83E-59C6-724C-A1EA-F2AFCE9F597D}"/>
    <hyperlink ref="M24" r:id="rId307" display="http://www.espn.com/nfl/boxscore/_/gameId/401326502" xr:uid="{394BEF02-F148-FF46-B8F5-9A5BE11FE1CB}"/>
    <hyperlink ref="N24" r:id="rId308" display="http://www.espn.com/nfl/boxscore/_/gameId/401326522" xr:uid="{D45836D2-208C-5348-8433-B526419B569D}"/>
    <hyperlink ref="A28" r:id="rId309" display="http://www.espn.com/nfl/team/_/name/no/new-orleans-saints" xr:uid="{1851EC67-8904-4641-8A11-15BD51A8DE48}"/>
    <hyperlink ref="B28" r:id="rId310" display="http://www.espn.com/nfl/boxscore/_/gameId/401326319" xr:uid="{D75B3B47-9996-3D45-9C19-F4F924B684BC}"/>
    <hyperlink ref="C28" r:id="rId311" display="http://www.espn.com/nfl/boxscore/_/gameId/401326128" xr:uid="{2DF16066-A1DF-CB46-9FE4-562F0E7796BB}"/>
    <hyperlink ref="D28" r:id="rId312" display="http://www.espn.com/nfl/boxscore/_/gameId/401326369" xr:uid="{667F0237-0CFB-4A45-9CE5-48A2E2CF2F06}"/>
    <hyperlink ref="E28" r:id="rId313" display="http://www.espn.com/nfl/boxscore/_/gameId/401326386" xr:uid="{9FB6E86C-1157-9245-BBC1-3040C01EB431}"/>
    <hyperlink ref="F28" r:id="rId314" display="http://www.espn.com/nfl/boxscore/_/gameId/401326403" xr:uid="{1BB232FE-2244-DF44-BD96-4F1D99E60636}"/>
    <hyperlink ref="H28" r:id="rId315" display="http://www.espn.com/nfl/boxscore/_/gameId/401326435" xr:uid="{54FA8256-7F97-D546-AD70-EC31C0F3F758}"/>
    <hyperlink ref="I28" r:id="rId316" display="http://www.espn.com/nfl/boxscore/_/gameId/401326448" xr:uid="{109791F8-6E72-3442-920F-A5B538922EDE}"/>
    <hyperlink ref="J28" r:id="rId317" display="http://www.espn.com/nfl/boxscore/_/gameId/401326458" xr:uid="{CA5A45BD-51B1-9644-8DD4-CEFF10147AC5}"/>
    <hyperlink ref="K28" r:id="rId318" display="http://www.espn.com/nfl/boxscore/_/gameId/401326471" xr:uid="{0FFB2816-BEA9-764B-89D8-15B7B5F3F062}"/>
    <hyperlink ref="L28" r:id="rId319" display="http://www.espn.com/nfl/boxscore/_/gameId/401326487" xr:uid="{5E5C9026-99BE-AA44-971D-4AB05129D96F}"/>
    <hyperlink ref="M28" r:id="rId320" display="http://www.espn.com/nfl/boxscore/_/gameId/401326496" xr:uid="{4D9C7947-2BC0-2141-914B-0AF24867F1D8}"/>
    <hyperlink ref="N28" r:id="rId321" display="http://www.espn.com/nfl/boxscore/_/gameId/401326509" xr:uid="{5023E291-6B51-864B-B144-966EBCA8B813}"/>
    <hyperlink ref="O28" r:id="rId322" display="http://www.espn.com/nfl/boxscore/_/gameId/401326529" xr:uid="{D1ABD8A5-5474-8746-9304-CAB6C60ACC8D}"/>
    <hyperlink ref="A18" r:id="rId323" display="http://www.espn.com/nfl/team/_/name/nyg/new-york-giants" xr:uid="{B65F4F0F-64F7-684C-888D-C81E4E3CC4AC}"/>
    <hyperlink ref="B18" r:id="rId324" display="http://www.espn.com/nfl/boxscore/_/gameId/401326320" xr:uid="{F5CA582C-EB45-364F-BAE4-E420A33D806D}"/>
    <hyperlink ref="C18" r:id="rId325" display="http://www.espn.com/nfl/boxscore/_/gameId/401326127" xr:uid="{0DC21A70-661D-2247-8640-42F3B2DB8E15}"/>
    <hyperlink ref="D18" r:id="rId326" display="http://www.espn.com/nfl/boxscore/_/gameId/401326370" xr:uid="{D4FCF440-823E-C747-AB69-F0F7887ED581}"/>
    <hyperlink ref="E18" r:id="rId327" display="http://www.espn.com/nfl/boxscore/_/gameId/401326386" xr:uid="{45EDF85A-1CB0-5B49-BB88-9741A1F93FD4}"/>
    <hyperlink ref="F18" r:id="rId328" display="http://www.espn.com/nfl/boxscore/_/gameId/401326407" xr:uid="{E89A5914-06C7-A545-A0B9-DFF90813179D}"/>
    <hyperlink ref="G18" r:id="rId329" display="http://www.espn.com/nfl/boxscore/_/gameId/401326416" xr:uid="{374006F5-CD1A-9A47-8E03-A26BB2EEE0AE}"/>
    <hyperlink ref="H18" r:id="rId330" display="http://www.espn.com/nfl/boxscore/_/gameId/401326428" xr:uid="{3625687A-49A7-D745-A895-28EF4AADFD1A}"/>
    <hyperlink ref="I18" r:id="rId331" display="http://www.espn.com/nfl/boxscore/_/gameId/401326450" xr:uid="{8B48FD3C-9574-DE48-BA64-C41DB80F31DB}"/>
    <hyperlink ref="J18" r:id="rId332" display="http://www.espn.com/nfl/boxscore/_/gameId/401326459" xr:uid="{41EE63A2-DA63-BD4B-AF09-8414D063DA34}"/>
    <hyperlink ref="L18" r:id="rId333" display="http://www.espn.com/nfl/boxscore/_/gameId/401326493" xr:uid="{2BB1E811-3D5B-3F4D-834A-7792037BD52D}"/>
    <hyperlink ref="M18" r:id="rId334" display="http://www.espn.com/nfl/boxscore/_/gameId/401326503" xr:uid="{7A44ED7D-2736-C44E-9358-BEBDA6C5DDF8}"/>
    <hyperlink ref="N18" r:id="rId335" display="http://www.espn.com/nfl/boxscore/_/gameId/401326516" xr:uid="{39BDE3D8-5A5E-E94A-898C-1A3F35454D38}"/>
    <hyperlink ref="O18" r:id="rId336" display="http://www.espn.com/nfl/boxscore/_/gameId/401326533" xr:uid="{9CD24C8E-83EA-1C49-9853-C0526FDCA7FB}"/>
    <hyperlink ref="A20" r:id="rId337" display="http://www.espn.com/nfl/team/_/name/nyj/new-york-jets" xr:uid="{2CA3C489-BD48-8143-91F6-CA5401388504}"/>
    <hyperlink ref="B20" r:id="rId338" display="http://www.espn.com/nfl/boxscore/_/gameId/401326309" xr:uid="{7B7FD17D-1954-CF4A-80FA-69900904E116}"/>
    <hyperlink ref="C20" r:id="rId339" display="http://www.espn.com/nfl/boxscore/_/gameId/401326354" xr:uid="{612C4C0D-0C43-7A45-B15B-338407BEDCED}"/>
    <hyperlink ref="D20" r:id="rId340" display="http://www.espn.com/nfl/boxscore/_/gameId/401326373" xr:uid="{B2CE31D3-24F7-6F44-A370-2538DE89073B}"/>
    <hyperlink ref="E20" r:id="rId341" display="http://www.espn.com/nfl/boxscore/_/gameId/401326387" xr:uid="{C1011713-1117-C742-B3B5-D6B53593D022}"/>
    <hyperlink ref="F20" r:id="rId342" display="http://www.espn.com/nfl/boxscore/_/gameId/401326324" xr:uid="{D45A93CB-DD1D-0A47-8C28-879D434FAB1C}"/>
    <hyperlink ref="H20" r:id="rId343" display="http://www.espn.com/nfl/boxscore/_/gameId/401326427" xr:uid="{37796B03-E08B-6E43-A57E-03B708DF73EA}"/>
    <hyperlink ref="I20" r:id="rId344" display="http://www.espn.com/nfl/boxscore/_/gameId/401326444" xr:uid="{9E2C7A41-CB50-FB4F-A407-16217810F9F1}"/>
    <hyperlink ref="J20" r:id="rId345" display="http://www.espn.com/nfl/boxscore/_/gameId/401326451" xr:uid="{9DBA3A2C-F086-2A47-AD15-E7F2717B25DE}"/>
    <hyperlink ref="K20" r:id="rId346" display="http://www.espn.com/nfl/boxscore/_/gameId/401326469" xr:uid="{0D5030D0-48D5-0A44-AB5D-F46486C35E91}"/>
    <hyperlink ref="L20" r:id="rId347" display="http://www.espn.com/nfl/boxscore/_/gameId/401326486" xr:uid="{0A24B6D5-D3B9-DE47-ABF5-1E64DA8CEEA7}"/>
    <hyperlink ref="M20" r:id="rId348" display="http://www.espn.com/nfl/boxscore/_/gameId/401326498" xr:uid="{73F60282-CACA-AC43-9552-90C55DD78FB0}"/>
    <hyperlink ref="N20" r:id="rId349" display="http://www.espn.com/nfl/boxscore/_/gameId/401326517" xr:uid="{F1FAD26E-B5C5-004C-B2A1-90A4CD3E7A65}"/>
    <hyperlink ref="O20" r:id="rId350" display="http://www.espn.com/nfl/boxscore/_/gameId/401326529" xr:uid="{3D49240D-1C4E-264A-ADB1-35517512EC7F}"/>
    <hyperlink ref="A15" r:id="rId351" display="http://www.espn.com/nfl/team/_/name/phi/philadelphia-eagles" xr:uid="{B186D10F-AE53-2D43-AEBD-ABD023CA57A8}"/>
    <hyperlink ref="B15" r:id="rId352" display="http://www.espn.com/nfl/boxscore/_/gameId/401326315" xr:uid="{596F2273-4C0B-AC4E-A646-748F6EB05F0E}"/>
    <hyperlink ref="C15" r:id="rId353" display="http://www.espn.com/nfl/boxscore/_/gameId/401326355" xr:uid="{EF60869E-75EC-DF4E-A1E2-CB22FCA7E66D}"/>
    <hyperlink ref="D15" r:id="rId354" display="http://www.espn.com/nfl/boxscore/_/gameId/401326378" xr:uid="{B5E61402-4ABB-C347-B126-D6D6C764F6DE}"/>
    <hyperlink ref="E15" r:id="rId355" display="http://www.espn.com/nfl/boxscore/_/gameId/401326388" xr:uid="{8D403030-2ACF-504B-AC6E-189DCC4C41B6}"/>
    <hyperlink ref="F15" r:id="rId356" display="http://www.espn.com/nfl/boxscore/_/gameId/401326396" xr:uid="{75C9E843-12FD-A142-A4E2-ADA87B066ADA}"/>
    <hyperlink ref="G15" r:id="rId357" display="http://www.espn.com/nfl/boxscore/_/gameId/401326410" xr:uid="{9C5B31CF-B062-2949-A5FB-44AB6F521618}"/>
    <hyperlink ref="H15" r:id="rId358" display="http://www.espn.com/nfl/boxscore/_/gameId/401326431" xr:uid="{6C50F4EE-3935-A94F-97AF-444256B4E32D}"/>
    <hyperlink ref="I15" r:id="rId359" display="http://www.espn.com/nfl/boxscore/_/gameId/401326441" xr:uid="{21B55D1B-276D-9B4B-8DF3-0D8657127DEF}"/>
    <hyperlink ref="J15" r:id="rId360" display="http://www.espn.com/nfl/boxscore/_/gameId/401326460" xr:uid="{028A3262-9F74-EC43-BE1B-8F2464C8186E}"/>
    <hyperlink ref="K15" r:id="rId361" display="http://www.espn.com/nfl/boxscore/_/gameId/401326475" xr:uid="{61A85232-B5D9-964F-85C0-EC7D76D516D2}"/>
    <hyperlink ref="L15" r:id="rId362" display="http://www.espn.com/nfl/boxscore/_/gameId/401326487" xr:uid="{76882FA3-D534-6341-998F-F5FAD0DFBD0E}"/>
    <hyperlink ref="M15" r:id="rId363" display="http://www.espn.com/nfl/boxscore/_/gameId/401326503" xr:uid="{E29ACF81-B4E1-A84C-8B31-13993C0E3714}"/>
    <hyperlink ref="N15" r:id="rId364" display="http://www.espn.com/nfl/boxscore/_/gameId/401326517" xr:uid="{B2A4DEB5-2724-B14C-B683-8B1009BC6C1D}"/>
    <hyperlink ref="A30" r:id="rId365" display="http://www.espn.com/nfl/team/_/name/pit/pittsburgh-steelers" xr:uid="{B1A191E2-F78A-174D-916E-ED33D79AF72C}"/>
    <hyperlink ref="B30" r:id="rId366" display="http://www.espn.com/nfl/boxscore/_/gameId/401326308" xr:uid="{FD33A0A9-1A79-2649-BE94-60D77847C460}"/>
    <hyperlink ref="C30" r:id="rId367" display="http://www.espn.com/nfl/boxscore/_/gameId/401326356" xr:uid="{9B0E6797-995D-E043-A4AA-EFABB51C9E41}"/>
    <hyperlink ref="D30" r:id="rId368" display="http://www.espn.com/nfl/boxscore/_/gameId/401326371" xr:uid="{C2863B7C-5A6F-7644-A0E9-49D03C6C7C46}"/>
    <hyperlink ref="E30" r:id="rId369" display="http://www.espn.com/nfl/boxscore/_/gameId/401326392" xr:uid="{D3887F62-19E7-324A-91B0-57D8D2A01BF1}"/>
    <hyperlink ref="F30" r:id="rId370" display="http://www.espn.com/nfl/boxscore/_/gameId/401326401" xr:uid="{4AD5397F-88C8-0C4F-9E23-521806D1B237}"/>
    <hyperlink ref="G30" r:id="rId371" display="http://www.espn.com/nfl/boxscore/_/gameId/401326421" xr:uid="{00F49446-1F71-0D47-9D54-A2C3D9D37CFF}"/>
    <hyperlink ref="I30" r:id="rId372" display="http://www.espn.com/nfl/boxscore/_/gameId/401326440" xr:uid="{0FECAA5C-986E-4D43-931B-EFC7DF89D18E}"/>
    <hyperlink ref="J30" r:id="rId373" display="http://www.espn.com/nfl/boxscore/_/gameId/401326464" xr:uid="{F8DF6A19-7433-5A4E-AECA-B1D9B0265280}"/>
    <hyperlink ref="K30" r:id="rId374" display="http://www.espn.com/nfl/boxscore/_/gameId/401326470" xr:uid="{D668D431-3FCA-9A40-94F5-09601C4CAFFE}"/>
    <hyperlink ref="L30" r:id="rId375" display="http://www.espn.com/nfl/boxscore/_/gameId/401326492" xr:uid="{8AF3C593-1A90-734D-97A4-065DA8A0A904}"/>
    <hyperlink ref="M30" r:id="rId376" display="http://www.espn.com/nfl/boxscore/_/gameId/401326497" xr:uid="{0F6EFAF4-15B0-6744-8E5F-829E14D4FE6B}"/>
    <hyperlink ref="N30" r:id="rId377" display="http://www.espn.com/nfl/boxscore/_/gameId/401326520" xr:uid="{6C9038C9-A29E-5240-8AE4-833B8FD89EA0}"/>
    <hyperlink ref="O30" r:id="rId378" display="http://www.espn.com/nfl/boxscore/_/gameId/401326523" xr:uid="{D26EB03E-1940-7447-B127-F422A211AE6D}"/>
    <hyperlink ref="A2" r:id="rId379" display="http://www.espn.com/nfl/team/_/name/sf/san-francisco-49ers" xr:uid="{80295F38-549C-B546-9062-64F76E789FFB}"/>
    <hyperlink ref="B2" r:id="rId380" display="http://www.espn.com/nfl/boxscore/_/gameId/401326317" xr:uid="{7ABF5274-1D8B-F649-8AC0-43ADD778DA72}"/>
    <hyperlink ref="C2" r:id="rId381" display="http://www.espn.com/nfl/boxscore/_/gameId/401326355" xr:uid="{23F14620-189E-4B45-995E-969AF30E7DF3}"/>
    <hyperlink ref="D2" r:id="rId382" display="http://www.espn.com/nfl/boxscore/_/gameId/401326377" xr:uid="{31E7BD83-8DB8-C040-B44D-276A93BF6C39}"/>
    <hyperlink ref="E2" r:id="rId383" display="http://www.espn.com/nfl/boxscore/_/gameId/401326390" xr:uid="{30922A2A-EEDF-6C47-8AF1-24989811AA32}"/>
    <hyperlink ref="F2" r:id="rId384" display="http://www.espn.com/nfl/boxscore/_/gameId/401326406" xr:uid="{07800757-618E-E04B-BF82-4879FECA508D}"/>
    <hyperlink ref="H2" r:id="rId385" display="http://www.espn.com/nfl/boxscore/_/gameId/401326434" xr:uid="{CE1F7753-4239-F84D-A861-97FFB84D72DA}"/>
    <hyperlink ref="I2" r:id="rId386" display="http://www.espn.com/nfl/boxscore/_/gameId/401326439" xr:uid="{81F1A3E7-2086-D54F-A408-7C52270BD488}"/>
    <hyperlink ref="J2" r:id="rId387" display="http://www.espn.com/nfl/boxscore/_/gameId/401326462" xr:uid="{505C6183-EF44-194B-9EA3-99BDAF367F06}"/>
    <hyperlink ref="K2" r:id="rId388" display="http://www.espn.com/nfl/boxscore/_/gameId/401326478" xr:uid="{CFC64410-A4F7-234D-AF9B-A30B92784CC5}"/>
    <hyperlink ref="L2" r:id="rId389" display="http://www.espn.com/nfl/boxscore/_/gameId/401326484" xr:uid="{36A01D7E-9B75-2D4F-9A4E-571EA1BA5258}"/>
    <hyperlink ref="M2" r:id="rId390" display="http://www.espn.com/nfl/boxscore/_/gameId/401326506" xr:uid="{7870F5B6-D097-7A42-83AF-4324BB1E6388}"/>
    <hyperlink ref="N2" r:id="rId391" display="http://www.espn.com/nfl/boxscore/_/gameId/401326521" xr:uid="{EEF9AEA3-9CD9-6547-B6B3-AF61E50ED7D6}"/>
    <hyperlink ref="O2" r:id="rId392" display="http://www.espn.com/nfl/boxscore/_/gameId/401326525" xr:uid="{CB030C05-F35C-AB47-B62F-8767CD2BAFC1}"/>
    <hyperlink ref="A29" r:id="rId393" display="http://www.espn.com/nfl/team/_/name/sea/seattle-seahawks" xr:uid="{A557D318-E6B8-FB48-AE8B-6C296107968A}"/>
    <hyperlink ref="B29" r:id="rId394" display="http://www.espn.com/nfl/boxscore/_/gameId/401326318" xr:uid="{4F95590A-59D8-C349-9615-03C9D1F1C3C2}"/>
    <hyperlink ref="C29" r:id="rId395" display="http://www.espn.com/nfl/boxscore/_/gameId/401326360" xr:uid="{1E89DD81-15B8-DB43-A540-168F6F864F48}"/>
    <hyperlink ref="D29" r:id="rId396" display="http://www.espn.com/nfl/boxscore/_/gameId/401326376" xr:uid="{E405C065-6FE1-524A-A51D-2A2D4595A551}"/>
    <hyperlink ref="E29" r:id="rId397" display="http://www.espn.com/nfl/boxscore/_/gameId/401326390" xr:uid="{5025FE2D-C285-264E-B877-5AAF9C787372}"/>
    <hyperlink ref="F29" r:id="rId398" display="http://www.espn.com/nfl/boxscore/_/gameId/401326395" xr:uid="{CD58C84E-6FF9-5645-8BA0-A8D52E209D0C}"/>
    <hyperlink ref="G29" r:id="rId399" display="http://www.espn.com/nfl/boxscore/_/gameId/401326421" xr:uid="{AA6228EA-168D-864E-8183-F69C4116D465}"/>
    <hyperlink ref="H29" r:id="rId400" display="http://www.espn.com/nfl/boxscore/_/gameId/401326435" xr:uid="{5BCB4099-3115-7242-AD7F-BA3756309506}"/>
    <hyperlink ref="I29" r:id="rId401" display="http://www.espn.com/nfl/boxscore/_/gameId/401326446" xr:uid="{DB618585-DBF5-C945-9FAB-411EE28796A0}"/>
    <hyperlink ref="K29" r:id="rId402" display="http://www.espn.com/nfl/boxscore/_/gameId/401326476" xr:uid="{D7487280-85C1-B44E-AC51-EEADA0FB990B}"/>
    <hyperlink ref="L29" r:id="rId403" display="http://www.espn.com/nfl/boxscore/_/gameId/401326491" xr:uid="{99644A7D-FD7B-A344-BF8C-5F1567C165F1}"/>
    <hyperlink ref="M29" r:id="rId404" display="http://www.espn.com/nfl/boxscore/_/gameId/401326508" xr:uid="{744898FD-70CC-974A-9862-F47D02BA645C}"/>
    <hyperlink ref="N29" r:id="rId405" display="http://www.espn.com/nfl/boxscore/_/gameId/401326521" xr:uid="{82E3CB65-E937-2B4E-9CAE-7095387196F8}"/>
    <hyperlink ref="O29" r:id="rId406" display="http://www.espn.com/nfl/boxscore/_/gameId/401326527" xr:uid="{F21977DB-A2C8-0345-BA0C-59AD69646027}"/>
    <hyperlink ref="A8" r:id="rId407" display="http://www.espn.com/nfl/team/_/name/tb/tampa-bay-buccaneers" xr:uid="{F4530470-EE67-674F-AC34-B69C26DE87A1}"/>
    <hyperlink ref="B8" r:id="rId408" display="http://www.espn.com/nfl/boxscore/_/gameId/401326322" xr:uid="{71B140FB-F5B0-0649-84DF-02BB4059BD39}"/>
    <hyperlink ref="C8" r:id="rId409" display="http://www.espn.com/nfl/boxscore/_/gameId/401326358" xr:uid="{7C76ADE9-D5A9-C24B-A278-4E67C9F5553B}"/>
    <hyperlink ref="D8" r:id="rId410" display="http://www.espn.com/nfl/boxscore/_/gameId/401326375" xr:uid="{FCFC14D9-19CC-964C-965E-A50FD89744CC}"/>
    <hyperlink ref="E8" r:id="rId411" display="http://www.espn.com/nfl/boxscore/_/gameId/401326393" xr:uid="{FE47A72D-D879-5B41-8F4E-80486D661866}"/>
    <hyperlink ref="F8" r:id="rId412" display="http://www.espn.com/nfl/boxscore/_/gameId/401326402" xr:uid="{0A86D3C0-50E5-6042-B6B4-CCA73E642549}"/>
    <hyperlink ref="G8" r:id="rId413" display="http://www.espn.com/nfl/boxscore/_/gameId/401326410" xr:uid="{28B6C69A-379A-B041-AF0D-46DA38A2C3BB}"/>
    <hyperlink ref="H8" r:id="rId414" display="http://www.espn.com/nfl/boxscore/_/gameId/401326433" xr:uid="{17AE22C0-8F0B-5641-824C-61D8AD564A36}"/>
    <hyperlink ref="I8" r:id="rId415" display="http://www.espn.com/nfl/boxscore/_/gameId/401326448" xr:uid="{19BF4B40-4434-DD4F-BB94-19491E93E4F7}"/>
    <hyperlink ref="K8" r:id="rId416" display="http://www.espn.com/nfl/boxscore/_/gameId/401326472" xr:uid="{3CB31533-998A-0346-8CA1-E2AF1CA45801}"/>
    <hyperlink ref="L8" r:id="rId417" display="http://www.espn.com/nfl/boxscore/_/gameId/401326493" xr:uid="{D44F7A8C-610E-C544-98C1-B6DEE7441314}"/>
    <hyperlink ref="M8" r:id="rId418" display="http://www.espn.com/nfl/boxscore/_/gameId/401326499" xr:uid="{D1A21200-3CFD-4E4D-867B-6B8911195E3C}"/>
    <hyperlink ref="N8" r:id="rId419" display="http://www.espn.com/nfl/boxscore/_/gameId/401326510" xr:uid="{2FE418A9-6D25-CB4B-A074-F7168DD7CA50}"/>
    <hyperlink ref="O8" r:id="rId420" display="http://www.espn.com/nfl/boxscore/_/gameId/401326534" xr:uid="{AA156A8E-BCF8-1742-AD7D-BA4A8CE1148D}"/>
    <hyperlink ref="A32" r:id="rId421" display="http://www.espn.com/nfl/team/_/name/ten/tennessee-titans" xr:uid="{03334A38-F380-404A-ADB8-828087B54DA7}"/>
    <hyperlink ref="B32" r:id="rId422" display="http://www.espn.com/nfl/boxscore/_/gameId/401326311" xr:uid="{9F56B525-3209-9741-BC30-5B4AD05F354E}"/>
    <hyperlink ref="C32" r:id="rId423" display="http://www.espn.com/nfl/boxscore/_/gameId/401326360" xr:uid="{BD6FFA80-5519-D142-9281-EE0787D42462}"/>
    <hyperlink ref="D32" r:id="rId424" display="http://www.espn.com/nfl/boxscore/_/gameId/401326372" xr:uid="{032D7933-8578-8049-A1DC-624FDB8CEEA2}"/>
    <hyperlink ref="E32" r:id="rId425" display="http://www.espn.com/nfl/boxscore/_/gameId/401326387" xr:uid="{D795378D-FD0A-0F4F-A589-C332AF0D6E0F}"/>
    <hyperlink ref="F32" r:id="rId426" display="http://www.espn.com/nfl/boxscore/_/gameId/401326399" xr:uid="{EF6B01DD-CA67-A84D-B292-220279042186}"/>
    <hyperlink ref="G32" r:id="rId427" display="http://www.espn.com/nfl/boxscore/_/gameId/401326422" xr:uid="{18C80321-BA17-914D-85DA-1269019FE8AE}"/>
    <hyperlink ref="H32" r:id="rId428" display="http://www.espn.com/nfl/boxscore/_/gameId/401326429" xr:uid="{4832917A-B4EA-CF4F-A750-6E700B791C7B}"/>
    <hyperlink ref="I32" r:id="rId429" display="http://www.espn.com/nfl/boxscore/_/gameId/401326443" xr:uid="{A7415299-712D-3C49-BD63-CC25401E7CF2}"/>
    <hyperlink ref="J32" r:id="rId430" display="http://www.espn.com/nfl/boxscore/_/gameId/401326463" xr:uid="{F92641F0-EBF4-774D-BDDA-1E817D23A7FB}"/>
    <hyperlink ref="K32" r:id="rId431" display="http://www.espn.com/nfl/boxscore/_/gameId/401326471" xr:uid="{799FCA40-15F6-CF4A-BD66-83967F902390}"/>
    <hyperlink ref="L32" r:id="rId432" display="http://www.espn.com/nfl/boxscore/_/gameId/401326488" xr:uid="{A4F6D5A3-8945-884A-988F-B46A24131D6A}"/>
    <hyperlink ref="M32" r:id="rId433" display="http://www.espn.com/nfl/boxscore/_/gameId/401326502" xr:uid="{9AA6F21F-2450-4841-83EB-90221816B46A}"/>
    <hyperlink ref="O32" r:id="rId434" display="http://www.espn.com/nfl/boxscore/_/gameId/401326530" xr:uid="{87F4585B-D37D-1347-8DEB-22C102FB11B4}"/>
    <hyperlink ref="A17" r:id="rId435" display="http://www.espn.com/nfl/team/_/name/wsh/washington-null" xr:uid="{93C65C0B-68C6-7745-94E3-2DA886D3ED04}"/>
    <hyperlink ref="B17" r:id="rId436" display="http://www.espn.com/nfl/boxscore/_/gameId/401326312" xr:uid="{B86C1055-4257-4349-8510-9D576C46AB70}"/>
    <hyperlink ref="C17" r:id="rId437" display="http://www.espn.com/nfl/boxscore/_/gameId/401326127" xr:uid="{92333AE8-2EBE-B246-95B7-02CAB8313841}"/>
    <hyperlink ref="D17" r:id="rId438" display="http://www.espn.com/nfl/boxscore/_/gameId/401326364" xr:uid="{C5097AE7-BB63-6345-817E-2C17C64CA785}"/>
    <hyperlink ref="E17" r:id="rId439" display="http://www.espn.com/nfl/boxscore/_/gameId/401326380" xr:uid="{94F4F0A9-5325-2841-8C84-CFF9B420DBFB}"/>
    <hyperlink ref="F17" r:id="rId440" display="http://www.espn.com/nfl/boxscore/_/gameId/401326403" xr:uid="{A5D0D76D-37F8-B74A-96D1-7090F095B3D7}"/>
    <hyperlink ref="G17" r:id="rId441" display="http://www.espn.com/nfl/boxscore/_/gameId/401326417" xr:uid="{DF2A4917-28C4-7A4A-BD43-F79AC6F516EC}"/>
    <hyperlink ref="H17" r:id="rId442" display="http://www.espn.com/nfl/boxscore/_/gameId/401326425" xr:uid="{F93446D1-6B61-234F-BD27-92C5FB1B0957}"/>
    <hyperlink ref="I17" r:id="rId443" display="http://www.espn.com/nfl/boxscore/_/gameId/401326447" xr:uid="{166F40A7-F565-A34D-A284-8570CCF91ECA}"/>
    <hyperlink ref="K17" r:id="rId444" display="http://www.espn.com/nfl/boxscore/_/gameId/401326472" xr:uid="{9F350D2B-8963-5A40-A6AF-DD0842F5CAB3}"/>
    <hyperlink ref="L17" r:id="rId445" display="http://www.espn.com/nfl/boxscore/_/gameId/401326481" xr:uid="{B45503FC-4D5F-E141-B539-7AE99D093EE5}"/>
    <hyperlink ref="M17" r:id="rId446" display="http://www.espn.com/nfl/boxscore/_/gameId/401326508" xr:uid="{CA5827B3-B229-2445-B657-EA30A04738DA}"/>
    <hyperlink ref="N17" r:id="rId447" display="http://www.espn.com/nfl/boxscore/_/gameId/401326518" xr:uid="{B1E01C16-CD0A-C843-810D-5E227AEF4309}"/>
    <hyperlink ref="O17" r:id="rId448" display="http://www.espn.com/nfl/boxscore/_/gameId/401326531" xr:uid="{2E0EE655-AEC1-324E-AFDB-CF75E04C8BB3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E336A-919E-C042-A393-8DA15CDCA337}">
  <sheetPr codeName="Sheet14"/>
  <dimension ref="A1:S33"/>
  <sheetViews>
    <sheetView workbookViewId="0">
      <selection sqref="A1:XFD1048576"/>
    </sheetView>
  </sheetViews>
  <sheetFormatPr baseColWidth="10" defaultRowHeight="16" x14ac:dyDescent="0.2"/>
  <sheetData>
    <row r="1" spans="1:19" x14ac:dyDescent="0.2">
      <c r="A1" s="37" t="s">
        <v>250</v>
      </c>
      <c r="B1" s="37">
        <v>1</v>
      </c>
      <c r="C1" s="37">
        <v>2</v>
      </c>
      <c r="D1" s="37">
        <v>3</v>
      </c>
      <c r="E1" s="37">
        <v>4</v>
      </c>
      <c r="F1" s="37">
        <v>5</v>
      </c>
      <c r="G1" s="37">
        <v>6</v>
      </c>
      <c r="H1" s="37">
        <v>7</v>
      </c>
      <c r="I1" s="37">
        <v>8</v>
      </c>
      <c r="J1" s="37">
        <v>9</v>
      </c>
      <c r="K1" s="37">
        <v>10</v>
      </c>
      <c r="L1" s="37">
        <v>11</v>
      </c>
      <c r="M1" s="37">
        <v>12</v>
      </c>
      <c r="N1" s="37">
        <v>13</v>
      </c>
      <c r="O1" s="37">
        <v>14</v>
      </c>
      <c r="P1" s="37">
        <v>15</v>
      </c>
      <c r="Q1" s="37">
        <v>16</v>
      </c>
      <c r="R1" s="37">
        <v>17</v>
      </c>
      <c r="S1" s="37">
        <v>18</v>
      </c>
    </row>
    <row r="2" spans="1:19" x14ac:dyDescent="0.2">
      <c r="A2" s="33" t="s">
        <v>251</v>
      </c>
      <c r="B2" s="33" t="s">
        <v>252</v>
      </c>
      <c r="C2" s="33" t="s">
        <v>253</v>
      </c>
      <c r="D2" s="33" t="s">
        <v>254</v>
      </c>
      <c r="E2" s="33" t="s">
        <v>255</v>
      </c>
      <c r="F2" s="33" t="s">
        <v>256</v>
      </c>
      <c r="G2" s="33" t="s">
        <v>257</v>
      </c>
      <c r="H2" s="33" t="s">
        <v>258</v>
      </c>
      <c r="I2" s="33" t="s">
        <v>259</v>
      </c>
      <c r="J2" s="33" t="s">
        <v>260</v>
      </c>
      <c r="K2" s="33" t="s">
        <v>261</v>
      </c>
      <c r="L2" s="33" t="s">
        <v>262</v>
      </c>
      <c r="M2" s="38" t="s">
        <v>263</v>
      </c>
      <c r="N2" s="33" t="s">
        <v>264</v>
      </c>
      <c r="O2" s="33" t="s">
        <v>265</v>
      </c>
      <c r="P2" s="39" t="s">
        <v>266</v>
      </c>
      <c r="Q2" s="39" t="s">
        <v>267</v>
      </c>
      <c r="R2" s="39" t="s">
        <v>268</v>
      </c>
      <c r="S2" s="39" t="s">
        <v>269</v>
      </c>
    </row>
    <row r="3" spans="1:19" x14ac:dyDescent="0.2">
      <c r="A3" s="33" t="s">
        <v>270</v>
      </c>
      <c r="B3" s="33" t="s">
        <v>271</v>
      </c>
      <c r="C3" s="33" t="s">
        <v>272</v>
      </c>
      <c r="D3" s="33" t="s">
        <v>273</v>
      </c>
      <c r="E3" s="33" t="s">
        <v>274</v>
      </c>
      <c r="F3" s="33" t="s">
        <v>275</v>
      </c>
      <c r="G3" s="38" t="s">
        <v>263</v>
      </c>
      <c r="H3" s="33" t="s">
        <v>276</v>
      </c>
      <c r="I3" s="33" t="s">
        <v>261</v>
      </c>
      <c r="J3" s="33" t="s">
        <v>277</v>
      </c>
      <c r="K3" s="33" t="s">
        <v>268</v>
      </c>
      <c r="L3" s="33" t="s">
        <v>278</v>
      </c>
      <c r="M3" s="33" t="s">
        <v>254</v>
      </c>
      <c r="N3" s="33" t="s">
        <v>279</v>
      </c>
      <c r="O3" s="33" t="s">
        <v>280</v>
      </c>
      <c r="P3" s="39" t="s">
        <v>260</v>
      </c>
      <c r="Q3" s="39" t="s">
        <v>281</v>
      </c>
      <c r="R3" s="39" t="s">
        <v>282</v>
      </c>
      <c r="S3" s="39" t="s">
        <v>283</v>
      </c>
    </row>
    <row r="4" spans="1:19" x14ac:dyDescent="0.2">
      <c r="A4" s="33" t="s">
        <v>284</v>
      </c>
      <c r="B4" s="33" t="s">
        <v>285</v>
      </c>
      <c r="C4" s="33" t="s">
        <v>286</v>
      </c>
      <c r="D4" s="33" t="s">
        <v>266</v>
      </c>
      <c r="E4" s="33" t="s">
        <v>287</v>
      </c>
      <c r="F4" s="33" t="s">
        <v>267</v>
      </c>
      <c r="G4" s="33" t="s">
        <v>288</v>
      </c>
      <c r="H4" s="33" t="s">
        <v>289</v>
      </c>
      <c r="I4" s="38" t="s">
        <v>263</v>
      </c>
      <c r="J4" s="33" t="s">
        <v>253</v>
      </c>
      <c r="K4" s="33" t="s">
        <v>276</v>
      </c>
      <c r="L4" s="33" t="s">
        <v>264</v>
      </c>
      <c r="M4" s="33" t="s">
        <v>290</v>
      </c>
      <c r="N4" s="33" t="s">
        <v>291</v>
      </c>
      <c r="O4" s="33" t="s">
        <v>257</v>
      </c>
      <c r="P4" s="39" t="s">
        <v>259</v>
      </c>
      <c r="Q4" s="39" t="s">
        <v>292</v>
      </c>
      <c r="R4" s="39" t="s">
        <v>265</v>
      </c>
      <c r="S4" s="39" t="s">
        <v>293</v>
      </c>
    </row>
    <row r="5" spans="1:19" x14ac:dyDescent="0.2">
      <c r="A5" s="33" t="s">
        <v>294</v>
      </c>
      <c r="B5" s="33" t="s">
        <v>293</v>
      </c>
      <c r="C5" s="33" t="s">
        <v>276</v>
      </c>
      <c r="D5" s="33" t="s">
        <v>274</v>
      </c>
      <c r="E5" s="33" t="s">
        <v>258</v>
      </c>
      <c r="F5" s="33" t="s">
        <v>295</v>
      </c>
      <c r="G5" s="33" t="s">
        <v>252</v>
      </c>
      <c r="H5" s="38" t="s">
        <v>263</v>
      </c>
      <c r="I5" s="33" t="s">
        <v>296</v>
      </c>
      <c r="J5" s="33" t="s">
        <v>254</v>
      </c>
      <c r="K5" s="33" t="s">
        <v>297</v>
      </c>
      <c r="L5" s="33" t="s">
        <v>267</v>
      </c>
      <c r="M5" s="33" t="s">
        <v>277</v>
      </c>
      <c r="N5" s="33" t="s">
        <v>278</v>
      </c>
      <c r="O5" s="33" t="s">
        <v>272</v>
      </c>
      <c r="P5" s="39" t="s">
        <v>261</v>
      </c>
      <c r="Q5" s="39" t="s">
        <v>298</v>
      </c>
      <c r="R5" s="39" t="s">
        <v>270</v>
      </c>
      <c r="S5" s="39" t="s">
        <v>275</v>
      </c>
    </row>
    <row r="6" spans="1:19" x14ac:dyDescent="0.2">
      <c r="A6" s="33" t="s">
        <v>261</v>
      </c>
      <c r="B6" s="33" t="s">
        <v>275</v>
      </c>
      <c r="C6" s="33" t="s">
        <v>283</v>
      </c>
      <c r="D6" s="33" t="s">
        <v>299</v>
      </c>
      <c r="E6" s="33" t="s">
        <v>268</v>
      </c>
      <c r="F6" s="33" t="s">
        <v>271</v>
      </c>
      <c r="G6" s="33" t="s">
        <v>253</v>
      </c>
      <c r="H6" s="33" t="s">
        <v>273</v>
      </c>
      <c r="I6" s="33" t="s">
        <v>300</v>
      </c>
      <c r="J6" s="33" t="s">
        <v>278</v>
      </c>
      <c r="K6" s="33" t="s">
        <v>301</v>
      </c>
      <c r="L6" s="33" t="s">
        <v>274</v>
      </c>
      <c r="M6" s="33" t="s">
        <v>276</v>
      </c>
      <c r="N6" s="38" t="s">
        <v>263</v>
      </c>
      <c r="O6" s="33" t="s">
        <v>270</v>
      </c>
      <c r="P6" s="39" t="s">
        <v>282</v>
      </c>
      <c r="Q6" s="39" t="s">
        <v>279</v>
      </c>
      <c r="R6" s="39" t="s">
        <v>277</v>
      </c>
      <c r="S6" s="39" t="s">
        <v>272</v>
      </c>
    </row>
    <row r="7" spans="1:19" x14ac:dyDescent="0.2">
      <c r="A7" s="33" t="s">
        <v>302</v>
      </c>
      <c r="B7" s="33" t="s">
        <v>255</v>
      </c>
      <c r="C7" s="33" t="s">
        <v>289</v>
      </c>
      <c r="D7" s="33" t="s">
        <v>257</v>
      </c>
      <c r="E7" s="33" t="s">
        <v>281</v>
      </c>
      <c r="F7" s="33" t="s">
        <v>285</v>
      </c>
      <c r="G7" s="33" t="s">
        <v>259</v>
      </c>
      <c r="H7" s="33" t="s">
        <v>272</v>
      </c>
      <c r="I7" s="33" t="s">
        <v>256</v>
      </c>
      <c r="J7" s="33" t="s">
        <v>291</v>
      </c>
      <c r="K7" s="38" t="s">
        <v>263</v>
      </c>
      <c r="L7" s="33" t="s">
        <v>284</v>
      </c>
      <c r="M7" s="33" t="s">
        <v>266</v>
      </c>
      <c r="N7" s="33" t="s">
        <v>251</v>
      </c>
      <c r="O7" s="33" t="s">
        <v>303</v>
      </c>
      <c r="P7" s="39" t="s">
        <v>253</v>
      </c>
      <c r="Q7" s="39" t="s">
        <v>262</v>
      </c>
      <c r="R7" s="39" t="s">
        <v>304</v>
      </c>
      <c r="S7" s="39" t="s">
        <v>305</v>
      </c>
    </row>
    <row r="8" spans="1:19" x14ac:dyDescent="0.2">
      <c r="A8" s="33" t="s">
        <v>289</v>
      </c>
      <c r="B8" s="33" t="s">
        <v>253</v>
      </c>
      <c r="C8" s="33" t="s">
        <v>264</v>
      </c>
      <c r="D8" s="33" t="s">
        <v>291</v>
      </c>
      <c r="E8" s="33" t="s">
        <v>306</v>
      </c>
      <c r="F8" s="33" t="s">
        <v>259</v>
      </c>
      <c r="G8" s="33" t="s">
        <v>266</v>
      </c>
      <c r="H8" s="33" t="s">
        <v>307</v>
      </c>
      <c r="I8" s="33" t="s">
        <v>297</v>
      </c>
      <c r="J8" s="33" t="s">
        <v>290</v>
      </c>
      <c r="K8" s="38" t="s">
        <v>263</v>
      </c>
      <c r="L8" s="33" t="s">
        <v>285</v>
      </c>
      <c r="M8" s="33" t="s">
        <v>293</v>
      </c>
      <c r="N8" s="33" t="s">
        <v>288</v>
      </c>
      <c r="O8" s="33" t="s">
        <v>256</v>
      </c>
      <c r="P8" s="39" t="s">
        <v>287</v>
      </c>
      <c r="Q8" s="39" t="s">
        <v>284</v>
      </c>
      <c r="R8" s="39" t="s">
        <v>286</v>
      </c>
      <c r="S8" s="39" t="s">
        <v>257</v>
      </c>
    </row>
    <row r="9" spans="1:19" x14ac:dyDescent="0.2">
      <c r="A9" s="33" t="s">
        <v>290</v>
      </c>
      <c r="B9" s="33" t="s">
        <v>295</v>
      </c>
      <c r="C9" s="33" t="s">
        <v>258</v>
      </c>
      <c r="D9" s="33" t="s">
        <v>302</v>
      </c>
      <c r="E9" s="33" t="s">
        <v>305</v>
      </c>
      <c r="F9" s="33" t="s">
        <v>308</v>
      </c>
      <c r="G9" s="33" t="s">
        <v>251</v>
      </c>
      <c r="H9" s="33" t="s">
        <v>309</v>
      </c>
      <c r="I9" s="33" t="s">
        <v>293</v>
      </c>
      <c r="J9" s="33" t="s">
        <v>292</v>
      </c>
      <c r="K9" s="33" t="s">
        <v>298</v>
      </c>
      <c r="L9" s="33" t="s">
        <v>281</v>
      </c>
      <c r="M9" s="33" t="s">
        <v>307</v>
      </c>
      <c r="N9" s="38" t="s">
        <v>263</v>
      </c>
      <c r="O9" s="33" t="s">
        <v>284</v>
      </c>
      <c r="P9" s="39" t="s">
        <v>310</v>
      </c>
      <c r="Q9" s="39" t="s">
        <v>303</v>
      </c>
      <c r="R9" s="39" t="s">
        <v>291</v>
      </c>
      <c r="S9" s="39" t="s">
        <v>289</v>
      </c>
    </row>
    <row r="10" spans="1:19" x14ac:dyDescent="0.2">
      <c r="A10" s="33" t="s">
        <v>311</v>
      </c>
      <c r="B10" s="33" t="s">
        <v>272</v>
      </c>
      <c r="C10" s="33" t="s">
        <v>308</v>
      </c>
      <c r="D10" s="33" t="s">
        <v>271</v>
      </c>
      <c r="E10" s="33" t="s">
        <v>261</v>
      </c>
      <c r="F10" s="33" t="s">
        <v>304</v>
      </c>
      <c r="G10" s="33" t="s">
        <v>298</v>
      </c>
      <c r="H10" s="38" t="s">
        <v>263</v>
      </c>
      <c r="I10" s="33" t="s">
        <v>305</v>
      </c>
      <c r="J10" s="33" t="s">
        <v>309</v>
      </c>
      <c r="K10" s="33" t="s">
        <v>270</v>
      </c>
      <c r="L10" s="33" t="s">
        <v>295</v>
      </c>
      <c r="M10" s="33" t="s">
        <v>310</v>
      </c>
      <c r="N10" s="33" t="s">
        <v>277</v>
      </c>
      <c r="O10" s="33" t="s">
        <v>312</v>
      </c>
      <c r="P10" s="39" t="s">
        <v>273</v>
      </c>
      <c r="Q10" s="39" t="s">
        <v>274</v>
      </c>
      <c r="R10" s="39" t="s">
        <v>251</v>
      </c>
      <c r="S10" s="39" t="s">
        <v>313</v>
      </c>
    </row>
    <row r="11" spans="1:19" x14ac:dyDescent="0.2">
      <c r="A11" s="33" t="s">
        <v>309</v>
      </c>
      <c r="B11" s="33" t="s">
        <v>273</v>
      </c>
      <c r="C11" s="33" t="s">
        <v>254</v>
      </c>
      <c r="D11" s="33" t="s">
        <v>275</v>
      </c>
      <c r="E11" s="33" t="s">
        <v>284</v>
      </c>
      <c r="F11" s="33" t="s">
        <v>291</v>
      </c>
      <c r="G11" s="33" t="s">
        <v>310</v>
      </c>
      <c r="H11" s="33" t="s">
        <v>257</v>
      </c>
      <c r="I11" s="33" t="s">
        <v>274</v>
      </c>
      <c r="J11" s="33" t="s">
        <v>268</v>
      </c>
      <c r="K11" s="33" t="s">
        <v>271</v>
      </c>
      <c r="L11" s="38" t="s">
        <v>263</v>
      </c>
      <c r="M11" s="33" t="s">
        <v>288</v>
      </c>
      <c r="N11" s="33" t="s">
        <v>295</v>
      </c>
      <c r="O11" s="33" t="s">
        <v>281</v>
      </c>
      <c r="P11" s="39" t="s">
        <v>289</v>
      </c>
      <c r="Q11" s="39" t="s">
        <v>285</v>
      </c>
      <c r="R11" s="39" t="s">
        <v>308</v>
      </c>
      <c r="S11" s="39" t="s">
        <v>286</v>
      </c>
    </row>
    <row r="12" spans="1:19" x14ac:dyDescent="0.2">
      <c r="A12" s="33" t="s">
        <v>281</v>
      </c>
      <c r="B12" s="33" t="s">
        <v>256</v>
      </c>
      <c r="C12" s="33" t="s">
        <v>303</v>
      </c>
      <c r="D12" s="33" t="s">
        <v>284</v>
      </c>
      <c r="E12" s="33" t="s">
        <v>264</v>
      </c>
      <c r="F12" s="33" t="s">
        <v>305</v>
      </c>
      <c r="G12" s="33" t="s">
        <v>289</v>
      </c>
      <c r="H12" s="33" t="s">
        <v>255</v>
      </c>
      <c r="I12" s="33" t="s">
        <v>271</v>
      </c>
      <c r="J12" s="38" t="s">
        <v>263</v>
      </c>
      <c r="K12" s="33" t="s">
        <v>291</v>
      </c>
      <c r="L12" s="33" t="s">
        <v>257</v>
      </c>
      <c r="M12" s="33" t="s">
        <v>302</v>
      </c>
      <c r="N12" s="33" t="s">
        <v>253</v>
      </c>
      <c r="O12" s="33" t="s">
        <v>287</v>
      </c>
      <c r="P12" s="39" t="s">
        <v>251</v>
      </c>
      <c r="Q12" s="39" t="s">
        <v>300</v>
      </c>
      <c r="R12" s="39" t="s">
        <v>262</v>
      </c>
      <c r="S12" s="39" t="s">
        <v>259</v>
      </c>
    </row>
    <row r="13" spans="1:19" x14ac:dyDescent="0.2">
      <c r="A13" s="33" t="s">
        <v>259</v>
      </c>
      <c r="B13" s="33" t="s">
        <v>277</v>
      </c>
      <c r="C13" s="33" t="s">
        <v>281</v>
      </c>
      <c r="D13" s="33" t="s">
        <v>260</v>
      </c>
      <c r="E13" s="33" t="s">
        <v>293</v>
      </c>
      <c r="F13" s="33" t="s">
        <v>292</v>
      </c>
      <c r="G13" s="33" t="s">
        <v>264</v>
      </c>
      <c r="H13" s="33" t="s">
        <v>274</v>
      </c>
      <c r="I13" s="33" t="s">
        <v>301</v>
      </c>
      <c r="J13" s="33" t="s">
        <v>295</v>
      </c>
      <c r="K13" s="33" t="s">
        <v>269</v>
      </c>
      <c r="L13" s="33" t="s">
        <v>305</v>
      </c>
      <c r="M13" s="33" t="s">
        <v>265</v>
      </c>
      <c r="N13" s="38" t="s">
        <v>263</v>
      </c>
      <c r="O13" s="33" t="s">
        <v>302</v>
      </c>
      <c r="P13" s="39" t="s">
        <v>307</v>
      </c>
      <c r="Q13" s="39" t="s">
        <v>290</v>
      </c>
      <c r="R13" s="39" t="s">
        <v>253</v>
      </c>
      <c r="S13" s="39" t="s">
        <v>266</v>
      </c>
    </row>
    <row r="14" spans="1:19" x14ac:dyDescent="0.2">
      <c r="A14" s="33" t="s">
        <v>258</v>
      </c>
      <c r="B14" s="33" t="s">
        <v>306</v>
      </c>
      <c r="C14" s="33" t="s">
        <v>257</v>
      </c>
      <c r="D14" s="33" t="s">
        <v>261</v>
      </c>
      <c r="E14" s="33" t="s">
        <v>282</v>
      </c>
      <c r="F14" s="33" t="s">
        <v>278</v>
      </c>
      <c r="G14" s="33" t="s">
        <v>314</v>
      </c>
      <c r="H14" s="33" t="s">
        <v>301</v>
      </c>
      <c r="I14" s="33" t="s">
        <v>265</v>
      </c>
      <c r="J14" s="33" t="s">
        <v>276</v>
      </c>
      <c r="K14" s="38" t="s">
        <v>263</v>
      </c>
      <c r="L14" s="33" t="s">
        <v>252</v>
      </c>
      <c r="M14" s="33" t="s">
        <v>275</v>
      </c>
      <c r="N14" s="33" t="s">
        <v>267</v>
      </c>
      <c r="O14" s="33" t="s">
        <v>269</v>
      </c>
      <c r="P14" s="39" t="s">
        <v>254</v>
      </c>
      <c r="Q14" s="39" t="s">
        <v>288</v>
      </c>
      <c r="R14" s="39" t="s">
        <v>260</v>
      </c>
      <c r="S14" s="39" t="s">
        <v>315</v>
      </c>
    </row>
    <row r="15" spans="1:19" x14ac:dyDescent="0.2">
      <c r="A15" s="33" t="s">
        <v>267</v>
      </c>
      <c r="B15" s="33" t="s">
        <v>269</v>
      </c>
      <c r="C15" s="33" t="s">
        <v>265</v>
      </c>
      <c r="D15" s="33" t="s">
        <v>252</v>
      </c>
      <c r="E15" s="33" t="s">
        <v>276</v>
      </c>
      <c r="F15" s="33" t="s">
        <v>307</v>
      </c>
      <c r="G15" s="33" t="s">
        <v>258</v>
      </c>
      <c r="H15" s="33" t="s">
        <v>260</v>
      </c>
      <c r="I15" s="33" t="s">
        <v>315</v>
      </c>
      <c r="J15" s="33" t="s">
        <v>275</v>
      </c>
      <c r="K15" s="33" t="s">
        <v>306</v>
      </c>
      <c r="L15" s="33" t="s">
        <v>282</v>
      </c>
      <c r="M15" s="33" t="s">
        <v>279</v>
      </c>
      <c r="N15" s="33" t="s">
        <v>299</v>
      </c>
      <c r="O15" s="38" t="s">
        <v>263</v>
      </c>
      <c r="P15" s="39" t="s">
        <v>278</v>
      </c>
      <c r="Q15" s="39" t="s">
        <v>301</v>
      </c>
      <c r="R15" s="39" t="s">
        <v>310</v>
      </c>
      <c r="S15" s="39" t="s">
        <v>254</v>
      </c>
    </row>
    <row r="16" spans="1:19" x14ac:dyDescent="0.2">
      <c r="A16" s="33" t="s">
        <v>306</v>
      </c>
      <c r="B16" s="33" t="s">
        <v>299</v>
      </c>
      <c r="C16" s="33" t="s">
        <v>309</v>
      </c>
      <c r="D16" s="33" t="s">
        <v>251</v>
      </c>
      <c r="E16" s="33" t="s">
        <v>292</v>
      </c>
      <c r="F16" s="33" t="s">
        <v>315</v>
      </c>
      <c r="G16" s="33" t="s">
        <v>296</v>
      </c>
      <c r="H16" s="38" t="s">
        <v>263</v>
      </c>
      <c r="I16" s="33" t="s">
        <v>262</v>
      </c>
      <c r="J16" s="33" t="s">
        <v>294</v>
      </c>
      <c r="K16" s="33" t="s">
        <v>314</v>
      </c>
      <c r="L16" s="33" t="s">
        <v>256</v>
      </c>
      <c r="M16" s="33" t="s">
        <v>270</v>
      </c>
      <c r="N16" s="33" t="s">
        <v>255</v>
      </c>
      <c r="O16" s="33" t="s">
        <v>252</v>
      </c>
      <c r="P16" s="39" t="s">
        <v>258</v>
      </c>
      <c r="Q16" s="39" t="s">
        <v>297</v>
      </c>
      <c r="R16" s="39" t="s">
        <v>298</v>
      </c>
      <c r="S16" s="39" t="s">
        <v>267</v>
      </c>
    </row>
    <row r="17" spans="1:19" x14ac:dyDescent="0.2">
      <c r="A17" s="33" t="s">
        <v>286</v>
      </c>
      <c r="B17" s="33" t="s">
        <v>290</v>
      </c>
      <c r="C17" s="33" t="s">
        <v>307</v>
      </c>
      <c r="D17" s="33" t="s">
        <v>288</v>
      </c>
      <c r="E17" s="33" t="s">
        <v>313</v>
      </c>
      <c r="F17" s="33" t="s">
        <v>294</v>
      </c>
      <c r="G17" s="33" t="s">
        <v>312</v>
      </c>
      <c r="H17" s="33" t="s">
        <v>252</v>
      </c>
      <c r="I17" s="33" t="s">
        <v>304</v>
      </c>
      <c r="J17" s="33" t="s">
        <v>259</v>
      </c>
      <c r="K17" s="33" t="s">
        <v>285</v>
      </c>
      <c r="L17" s="33" t="s">
        <v>311</v>
      </c>
      <c r="M17" s="38" t="s">
        <v>263</v>
      </c>
      <c r="N17" s="33" t="s">
        <v>309</v>
      </c>
      <c r="O17" s="33" t="s">
        <v>310</v>
      </c>
      <c r="P17" s="39" t="s">
        <v>308</v>
      </c>
      <c r="Q17" s="39" t="s">
        <v>293</v>
      </c>
      <c r="R17" s="39" t="s">
        <v>292</v>
      </c>
      <c r="S17" s="39" t="s">
        <v>287</v>
      </c>
    </row>
    <row r="18" spans="1:19" x14ac:dyDescent="0.2">
      <c r="A18" s="33" t="s">
        <v>310</v>
      </c>
      <c r="B18" s="33" t="s">
        <v>284</v>
      </c>
      <c r="C18" s="33" t="s">
        <v>291</v>
      </c>
      <c r="D18" s="33" t="s">
        <v>296</v>
      </c>
      <c r="E18" s="33" t="s">
        <v>308</v>
      </c>
      <c r="F18" s="33" t="s">
        <v>302</v>
      </c>
      <c r="G18" s="33" t="s">
        <v>287</v>
      </c>
      <c r="H18" s="33" t="s">
        <v>271</v>
      </c>
      <c r="I18" s="38" t="s">
        <v>263</v>
      </c>
      <c r="J18" s="33" t="s">
        <v>273</v>
      </c>
      <c r="K18" s="33" t="s">
        <v>286</v>
      </c>
      <c r="L18" s="33" t="s">
        <v>289</v>
      </c>
      <c r="M18" s="33" t="s">
        <v>268</v>
      </c>
      <c r="N18" s="33" t="s">
        <v>274</v>
      </c>
      <c r="O18" s="33" t="s">
        <v>295</v>
      </c>
      <c r="P18" s="39" t="s">
        <v>257</v>
      </c>
      <c r="Q18" s="39" t="s">
        <v>309</v>
      </c>
      <c r="R18" s="39" t="s">
        <v>314</v>
      </c>
      <c r="S18" s="39" t="s">
        <v>288</v>
      </c>
    </row>
    <row r="19" spans="1:19" x14ac:dyDescent="0.2">
      <c r="A19" s="33" t="s">
        <v>265</v>
      </c>
      <c r="B19" s="33" t="s">
        <v>302</v>
      </c>
      <c r="C19" s="33" t="s">
        <v>314</v>
      </c>
      <c r="D19" s="33" t="s">
        <v>279</v>
      </c>
      <c r="E19" s="33" t="s">
        <v>251</v>
      </c>
      <c r="F19" s="33" t="s">
        <v>262</v>
      </c>
      <c r="G19" s="33" t="s">
        <v>273</v>
      </c>
      <c r="H19" s="33" t="s">
        <v>281</v>
      </c>
      <c r="I19" s="33" t="s">
        <v>299</v>
      </c>
      <c r="J19" s="33" t="s">
        <v>315</v>
      </c>
      <c r="K19" s="33" t="s">
        <v>260</v>
      </c>
      <c r="L19" s="38" t="s">
        <v>263</v>
      </c>
      <c r="M19" s="33" t="s">
        <v>303</v>
      </c>
      <c r="N19" s="33" t="s">
        <v>306</v>
      </c>
      <c r="O19" s="33" t="s">
        <v>301</v>
      </c>
      <c r="P19" s="39" t="s">
        <v>269</v>
      </c>
      <c r="Q19" s="39" t="s">
        <v>305</v>
      </c>
      <c r="R19" s="39" t="s">
        <v>307</v>
      </c>
      <c r="S19" s="39" t="s">
        <v>256</v>
      </c>
    </row>
    <row r="20" spans="1:19" x14ac:dyDescent="0.2">
      <c r="A20" s="33" t="s">
        <v>288</v>
      </c>
      <c r="B20" s="33" t="s">
        <v>312</v>
      </c>
      <c r="C20" s="33" t="s">
        <v>311</v>
      </c>
      <c r="D20" s="33" t="s">
        <v>295</v>
      </c>
      <c r="E20" s="33" t="s">
        <v>310</v>
      </c>
      <c r="F20" s="33" t="s">
        <v>290</v>
      </c>
      <c r="G20" s="33" t="s">
        <v>307</v>
      </c>
      <c r="H20" s="38" t="s">
        <v>263</v>
      </c>
      <c r="I20" s="33" t="s">
        <v>278</v>
      </c>
      <c r="J20" s="33" t="s">
        <v>313</v>
      </c>
      <c r="K20" s="33" t="s">
        <v>253</v>
      </c>
      <c r="L20" s="33" t="s">
        <v>293</v>
      </c>
      <c r="M20" s="33" t="s">
        <v>287</v>
      </c>
      <c r="N20" s="33" t="s">
        <v>292</v>
      </c>
      <c r="O20" s="33" t="s">
        <v>304</v>
      </c>
      <c r="P20" s="39" t="s">
        <v>286</v>
      </c>
      <c r="Q20" s="39" t="s">
        <v>299</v>
      </c>
      <c r="R20" s="39" t="s">
        <v>309</v>
      </c>
      <c r="S20" s="39" t="s">
        <v>285</v>
      </c>
    </row>
    <row r="21" spans="1:19" x14ac:dyDescent="0.2">
      <c r="A21" s="33" t="s">
        <v>296</v>
      </c>
      <c r="B21" s="33" t="s">
        <v>298</v>
      </c>
      <c r="C21" s="33" t="s">
        <v>294</v>
      </c>
      <c r="D21" s="33" t="s">
        <v>285</v>
      </c>
      <c r="E21" s="33" t="s">
        <v>267</v>
      </c>
      <c r="F21" s="33" t="s">
        <v>272</v>
      </c>
      <c r="G21" s="33" t="s">
        <v>254</v>
      </c>
      <c r="H21" s="33" t="s">
        <v>270</v>
      </c>
      <c r="I21" s="33" t="s">
        <v>282</v>
      </c>
      <c r="J21" s="33" t="s">
        <v>258</v>
      </c>
      <c r="K21" s="33" t="s">
        <v>284</v>
      </c>
      <c r="L21" s="33" t="s">
        <v>297</v>
      </c>
      <c r="M21" s="33" t="s">
        <v>261</v>
      </c>
      <c r="N21" s="33" t="s">
        <v>304</v>
      </c>
      <c r="O21" s="38" t="s">
        <v>263</v>
      </c>
      <c r="P21" s="39" t="s">
        <v>275</v>
      </c>
      <c r="Q21" s="39" t="s">
        <v>277</v>
      </c>
      <c r="R21" s="39" t="s">
        <v>252</v>
      </c>
      <c r="S21" s="39" t="s">
        <v>278</v>
      </c>
    </row>
    <row r="22" spans="1:19" x14ac:dyDescent="0.2">
      <c r="A22" s="33" t="s">
        <v>253</v>
      </c>
      <c r="B22" s="33" t="s">
        <v>292</v>
      </c>
      <c r="C22" s="33" t="s">
        <v>301</v>
      </c>
      <c r="D22" s="33" t="s">
        <v>269</v>
      </c>
      <c r="E22" s="33" t="s">
        <v>290</v>
      </c>
      <c r="F22" s="33" t="s">
        <v>281</v>
      </c>
      <c r="G22" s="33" t="s">
        <v>280</v>
      </c>
      <c r="H22" s="38" t="s">
        <v>263</v>
      </c>
      <c r="I22" s="33" t="s">
        <v>311</v>
      </c>
      <c r="J22" s="33" t="s">
        <v>307</v>
      </c>
      <c r="K22" s="33" t="s">
        <v>308</v>
      </c>
      <c r="L22" s="33" t="s">
        <v>259</v>
      </c>
      <c r="M22" s="33" t="s">
        <v>260</v>
      </c>
      <c r="N22" s="33" t="s">
        <v>266</v>
      </c>
      <c r="O22" s="33" t="s">
        <v>293</v>
      </c>
      <c r="P22" s="39" t="s">
        <v>264</v>
      </c>
      <c r="Q22" s="39" t="s">
        <v>265</v>
      </c>
      <c r="R22" s="39" t="s">
        <v>303</v>
      </c>
      <c r="S22" s="39" t="s">
        <v>302</v>
      </c>
    </row>
    <row r="23" spans="1:19" x14ac:dyDescent="0.2">
      <c r="A23" s="33" t="s">
        <v>278</v>
      </c>
      <c r="B23" s="33" t="s">
        <v>296</v>
      </c>
      <c r="C23" s="33" t="s">
        <v>297</v>
      </c>
      <c r="D23" s="33" t="s">
        <v>283</v>
      </c>
      <c r="E23" s="33" t="s">
        <v>279</v>
      </c>
      <c r="F23" s="33" t="s">
        <v>299</v>
      </c>
      <c r="G23" s="33" t="s">
        <v>311</v>
      </c>
      <c r="H23" s="33" t="s">
        <v>275</v>
      </c>
      <c r="I23" s="33" t="s">
        <v>308</v>
      </c>
      <c r="J23" s="33" t="s">
        <v>280</v>
      </c>
      <c r="K23" s="33" t="s">
        <v>290</v>
      </c>
      <c r="L23" s="33" t="s">
        <v>300</v>
      </c>
      <c r="M23" s="33" t="s">
        <v>315</v>
      </c>
      <c r="N23" s="33" t="s">
        <v>282</v>
      </c>
      <c r="O23" s="38" t="s">
        <v>263</v>
      </c>
      <c r="P23" s="39" t="s">
        <v>314</v>
      </c>
      <c r="Q23" s="39" t="s">
        <v>294</v>
      </c>
      <c r="R23" s="39" t="s">
        <v>306</v>
      </c>
      <c r="S23" s="39" t="s">
        <v>276</v>
      </c>
    </row>
    <row r="24" spans="1:19" x14ac:dyDescent="0.2">
      <c r="A24" s="33" t="s">
        <v>283</v>
      </c>
      <c r="B24" s="33" t="s">
        <v>259</v>
      </c>
      <c r="C24" s="33" t="s">
        <v>280</v>
      </c>
      <c r="D24" s="33" t="s">
        <v>298</v>
      </c>
      <c r="E24" s="33" t="s">
        <v>304</v>
      </c>
      <c r="F24" s="33" t="s">
        <v>312</v>
      </c>
      <c r="G24" s="38" t="s">
        <v>263</v>
      </c>
      <c r="H24" s="33" t="s">
        <v>262</v>
      </c>
      <c r="I24" s="33" t="s">
        <v>279</v>
      </c>
      <c r="J24" s="33" t="s">
        <v>270</v>
      </c>
      <c r="K24" s="33" t="s">
        <v>252</v>
      </c>
      <c r="L24" s="33" t="s">
        <v>313</v>
      </c>
      <c r="M24" s="33" t="s">
        <v>294</v>
      </c>
      <c r="N24" s="33" t="s">
        <v>311</v>
      </c>
      <c r="O24" s="33" t="s">
        <v>297</v>
      </c>
      <c r="P24" s="39" t="s">
        <v>272</v>
      </c>
      <c r="Q24" s="39" t="s">
        <v>296</v>
      </c>
      <c r="R24" s="39" t="s">
        <v>261</v>
      </c>
      <c r="S24" s="39" t="s">
        <v>300</v>
      </c>
    </row>
    <row r="25" spans="1:19" x14ac:dyDescent="0.2">
      <c r="A25" s="33" t="s">
        <v>304</v>
      </c>
      <c r="B25" s="33" t="s">
        <v>309</v>
      </c>
      <c r="C25" s="33" t="s">
        <v>312</v>
      </c>
      <c r="D25" s="33" t="s">
        <v>270</v>
      </c>
      <c r="E25" s="33" t="s">
        <v>277</v>
      </c>
      <c r="F25" s="33" t="s">
        <v>268</v>
      </c>
      <c r="G25" s="33" t="s">
        <v>265</v>
      </c>
      <c r="H25" s="33" t="s">
        <v>261</v>
      </c>
      <c r="I25" s="33" t="s">
        <v>295</v>
      </c>
      <c r="J25" s="33" t="s">
        <v>310</v>
      </c>
      <c r="K25" s="38" t="s">
        <v>263</v>
      </c>
      <c r="L25" s="33" t="s">
        <v>272</v>
      </c>
      <c r="M25" s="33" t="s">
        <v>271</v>
      </c>
      <c r="N25" s="33" t="s">
        <v>276</v>
      </c>
      <c r="O25" s="33" t="s">
        <v>308</v>
      </c>
      <c r="P25" s="39" t="s">
        <v>311</v>
      </c>
      <c r="Q25" s="39" t="s">
        <v>313</v>
      </c>
      <c r="R25" s="39" t="s">
        <v>264</v>
      </c>
      <c r="S25" s="39" t="s">
        <v>274</v>
      </c>
    </row>
    <row r="26" spans="1:19" x14ac:dyDescent="0.2">
      <c r="A26" s="33" t="s">
        <v>275</v>
      </c>
      <c r="B26" s="33" t="s">
        <v>280</v>
      </c>
      <c r="C26" s="33" t="s">
        <v>278</v>
      </c>
      <c r="D26" s="33" t="s">
        <v>287</v>
      </c>
      <c r="E26" s="33" t="s">
        <v>315</v>
      </c>
      <c r="F26" s="33" t="s">
        <v>300</v>
      </c>
      <c r="G26" s="38" t="s">
        <v>263</v>
      </c>
      <c r="H26" s="33" t="s">
        <v>298</v>
      </c>
      <c r="I26" s="33" t="s">
        <v>289</v>
      </c>
      <c r="J26" s="33" t="s">
        <v>314</v>
      </c>
      <c r="K26" s="33" t="s">
        <v>294</v>
      </c>
      <c r="L26" s="33" t="s">
        <v>296</v>
      </c>
      <c r="M26" s="33" t="s">
        <v>299</v>
      </c>
      <c r="N26" s="33" t="s">
        <v>271</v>
      </c>
      <c r="O26" s="33" t="s">
        <v>283</v>
      </c>
      <c r="P26" s="39" t="s">
        <v>276</v>
      </c>
      <c r="Q26" s="39" t="s">
        <v>306</v>
      </c>
      <c r="R26" s="39" t="s">
        <v>279</v>
      </c>
      <c r="S26" s="39" t="s">
        <v>282</v>
      </c>
    </row>
    <row r="27" spans="1:19" x14ac:dyDescent="0.2">
      <c r="A27" s="33" t="s">
        <v>271</v>
      </c>
      <c r="B27" s="33" t="s">
        <v>300</v>
      </c>
      <c r="C27" s="33" t="s">
        <v>256</v>
      </c>
      <c r="D27" s="33" t="s">
        <v>268</v>
      </c>
      <c r="E27" s="33" t="s">
        <v>286</v>
      </c>
      <c r="F27" s="33" t="s">
        <v>280</v>
      </c>
      <c r="G27" s="33" t="s">
        <v>279</v>
      </c>
      <c r="H27" s="33" t="s">
        <v>285</v>
      </c>
      <c r="I27" s="33" t="s">
        <v>266</v>
      </c>
      <c r="J27" s="33" t="s">
        <v>288</v>
      </c>
      <c r="K27" s="33" t="s">
        <v>287</v>
      </c>
      <c r="L27" s="33" t="s">
        <v>283</v>
      </c>
      <c r="M27" s="33" t="s">
        <v>273</v>
      </c>
      <c r="N27" s="33" t="s">
        <v>297</v>
      </c>
      <c r="O27" s="38" t="s">
        <v>263</v>
      </c>
      <c r="P27" s="39" t="s">
        <v>274</v>
      </c>
      <c r="Q27" s="39" t="s">
        <v>304</v>
      </c>
      <c r="R27" s="39" t="s">
        <v>312</v>
      </c>
      <c r="S27" s="39" t="s">
        <v>311</v>
      </c>
    </row>
    <row r="28" spans="1:19" x14ac:dyDescent="0.2">
      <c r="A28" s="33" t="s">
        <v>293</v>
      </c>
      <c r="B28" s="33" t="s">
        <v>282</v>
      </c>
      <c r="C28" s="33" t="s">
        <v>310</v>
      </c>
      <c r="D28" s="33" t="s">
        <v>289</v>
      </c>
      <c r="E28" s="33" t="s">
        <v>303</v>
      </c>
      <c r="F28" s="33" t="s">
        <v>309</v>
      </c>
      <c r="G28" s="33" t="s">
        <v>269</v>
      </c>
      <c r="H28" s="38" t="s">
        <v>263</v>
      </c>
      <c r="I28" s="33" t="s">
        <v>257</v>
      </c>
      <c r="J28" s="33" t="s">
        <v>302</v>
      </c>
      <c r="K28" s="33" t="s">
        <v>281</v>
      </c>
      <c r="L28" s="33" t="s">
        <v>308</v>
      </c>
      <c r="M28" s="33" t="s">
        <v>292</v>
      </c>
      <c r="N28" s="33" t="s">
        <v>284</v>
      </c>
      <c r="O28" s="33" t="s">
        <v>305</v>
      </c>
      <c r="P28" s="39" t="s">
        <v>315</v>
      </c>
      <c r="Q28" s="39" t="s">
        <v>295</v>
      </c>
      <c r="R28" s="39" t="s">
        <v>290</v>
      </c>
      <c r="S28" s="39" t="s">
        <v>307</v>
      </c>
    </row>
    <row r="29" spans="1:19" x14ac:dyDescent="0.2">
      <c r="A29" s="33" t="s">
        <v>256</v>
      </c>
      <c r="B29" s="33" t="s">
        <v>266</v>
      </c>
      <c r="C29" s="33" t="s">
        <v>313</v>
      </c>
      <c r="D29" s="33" t="s">
        <v>259</v>
      </c>
      <c r="E29" s="33" t="s">
        <v>269</v>
      </c>
      <c r="F29" s="33" t="s">
        <v>301</v>
      </c>
      <c r="G29" s="38" t="s">
        <v>263</v>
      </c>
      <c r="H29" s="33" t="s">
        <v>267</v>
      </c>
      <c r="I29" s="33" t="s">
        <v>264</v>
      </c>
      <c r="J29" s="33" t="s">
        <v>251</v>
      </c>
      <c r="K29" s="33" t="s">
        <v>265</v>
      </c>
      <c r="L29" s="33" t="s">
        <v>254</v>
      </c>
      <c r="M29" s="33" t="s">
        <v>253</v>
      </c>
      <c r="N29" s="33" t="s">
        <v>262</v>
      </c>
      <c r="O29" s="33" t="s">
        <v>292</v>
      </c>
      <c r="P29" s="39" t="s">
        <v>270</v>
      </c>
      <c r="Q29" s="39" t="s">
        <v>252</v>
      </c>
      <c r="R29" s="39" t="s">
        <v>258</v>
      </c>
      <c r="S29" s="39" t="s">
        <v>255</v>
      </c>
    </row>
    <row r="30" spans="1:19" x14ac:dyDescent="0.2">
      <c r="A30" s="33" t="s">
        <v>269</v>
      </c>
      <c r="B30" s="33" t="s">
        <v>314</v>
      </c>
      <c r="C30" s="33" t="s">
        <v>315</v>
      </c>
      <c r="D30" s="33" t="s">
        <v>305</v>
      </c>
      <c r="E30" s="33" t="s">
        <v>260</v>
      </c>
      <c r="F30" s="33" t="s">
        <v>265</v>
      </c>
      <c r="G30" s="33" t="s">
        <v>291</v>
      </c>
      <c r="H30" s="33" t="s">
        <v>283</v>
      </c>
      <c r="I30" s="33" t="s">
        <v>306</v>
      </c>
      <c r="J30" s="38" t="s">
        <v>263</v>
      </c>
      <c r="K30" s="33" t="s">
        <v>303</v>
      </c>
      <c r="L30" s="33" t="s">
        <v>251</v>
      </c>
      <c r="M30" s="33" t="s">
        <v>312</v>
      </c>
      <c r="N30" s="33" t="s">
        <v>256</v>
      </c>
      <c r="O30" s="33" t="s">
        <v>299</v>
      </c>
      <c r="P30" s="39" t="s">
        <v>255</v>
      </c>
      <c r="Q30" s="39" t="s">
        <v>302</v>
      </c>
      <c r="R30" s="39" t="s">
        <v>281</v>
      </c>
      <c r="S30" s="39" t="s">
        <v>301</v>
      </c>
    </row>
    <row r="31" spans="1:19" x14ac:dyDescent="0.2">
      <c r="A31" s="33" t="s">
        <v>279</v>
      </c>
      <c r="B31" s="33" t="s">
        <v>311</v>
      </c>
      <c r="C31" s="33" t="s">
        <v>270</v>
      </c>
      <c r="D31" s="33" t="s">
        <v>255</v>
      </c>
      <c r="E31" s="33" t="s">
        <v>298</v>
      </c>
      <c r="F31" s="33" t="s">
        <v>296</v>
      </c>
      <c r="G31" s="33" t="s">
        <v>313</v>
      </c>
      <c r="H31" s="33" t="s">
        <v>302</v>
      </c>
      <c r="I31" s="33" t="s">
        <v>277</v>
      </c>
      <c r="J31" s="38" t="s">
        <v>263</v>
      </c>
      <c r="K31" s="33" t="s">
        <v>312</v>
      </c>
      <c r="L31" s="33" t="s">
        <v>304</v>
      </c>
      <c r="M31" s="33" t="s">
        <v>314</v>
      </c>
      <c r="N31" s="33" t="s">
        <v>300</v>
      </c>
      <c r="O31" s="33" t="s">
        <v>294</v>
      </c>
      <c r="P31" s="39" t="s">
        <v>283</v>
      </c>
      <c r="Q31" s="39" t="s">
        <v>280</v>
      </c>
      <c r="R31" s="39" t="s">
        <v>297</v>
      </c>
      <c r="S31" s="39" t="s">
        <v>261</v>
      </c>
    </row>
    <row r="32" spans="1:19" x14ac:dyDescent="0.2">
      <c r="A32" s="33" t="s">
        <v>315</v>
      </c>
      <c r="B32" s="33" t="s">
        <v>251</v>
      </c>
      <c r="C32" s="33" t="s">
        <v>262</v>
      </c>
      <c r="D32" s="33" t="s">
        <v>267</v>
      </c>
      <c r="E32" s="33" t="s">
        <v>297</v>
      </c>
      <c r="F32" s="33" t="s">
        <v>254</v>
      </c>
      <c r="G32" s="33" t="s">
        <v>294</v>
      </c>
      <c r="H32" s="33" t="s">
        <v>286</v>
      </c>
      <c r="I32" s="33" t="s">
        <v>314</v>
      </c>
      <c r="J32" s="33" t="s">
        <v>255</v>
      </c>
      <c r="K32" s="33" t="s">
        <v>283</v>
      </c>
      <c r="L32" s="33" t="s">
        <v>258</v>
      </c>
      <c r="M32" s="33" t="s">
        <v>298</v>
      </c>
      <c r="N32" s="38" t="s">
        <v>263</v>
      </c>
      <c r="O32" s="33" t="s">
        <v>306</v>
      </c>
      <c r="P32" s="39" t="s">
        <v>291</v>
      </c>
      <c r="Q32" s="39" t="s">
        <v>256</v>
      </c>
      <c r="R32" s="39" t="s">
        <v>296</v>
      </c>
      <c r="S32" s="39" t="s">
        <v>299</v>
      </c>
    </row>
    <row r="33" spans="1:19" x14ac:dyDescent="0.2">
      <c r="A33" s="33" t="s">
        <v>274</v>
      </c>
      <c r="B33" s="33" t="s">
        <v>288</v>
      </c>
      <c r="C33" s="33" t="s">
        <v>304</v>
      </c>
      <c r="D33" s="33" t="s">
        <v>282</v>
      </c>
      <c r="E33" s="33" t="s">
        <v>300</v>
      </c>
      <c r="F33" s="33" t="s">
        <v>283</v>
      </c>
      <c r="G33" s="33" t="s">
        <v>286</v>
      </c>
      <c r="H33" s="33" t="s">
        <v>303</v>
      </c>
      <c r="I33" s="33" t="s">
        <v>287</v>
      </c>
      <c r="J33" s="38" t="s">
        <v>263</v>
      </c>
      <c r="K33" s="33" t="s">
        <v>279</v>
      </c>
      <c r="L33" s="33" t="s">
        <v>280</v>
      </c>
      <c r="M33" s="33" t="s">
        <v>269</v>
      </c>
      <c r="N33" s="33" t="s">
        <v>285</v>
      </c>
      <c r="O33" s="33" t="s">
        <v>311</v>
      </c>
      <c r="P33" s="39" t="s">
        <v>313</v>
      </c>
      <c r="Q33" s="39" t="s">
        <v>268</v>
      </c>
      <c r="R33" s="39" t="s">
        <v>271</v>
      </c>
      <c r="S33" s="39" t="s">
        <v>316</v>
      </c>
    </row>
  </sheetData>
  <hyperlinks>
    <hyperlink ref="A2" r:id="rId1" display="http://www.espn.com/nfl/team/_/name/ari/arizona-cardinals" xr:uid="{A9EC8D9F-6E74-1243-9906-B616F1562772}"/>
    <hyperlink ref="B2" r:id="rId2" display="http://www.espn.com/nfl/boxscore/_/gameId/401326311" xr:uid="{88DFC4E8-1E98-BB40-BA5C-FDE4F2E78937}"/>
    <hyperlink ref="C2" r:id="rId3" display="http://www.espn.com/nfl/boxscore/_/gameId/401326357" xr:uid="{93CDF02E-FDF3-804A-9994-386129346BB3}"/>
    <hyperlink ref="D2" r:id="rId4" display="http://www.espn.com/nfl/boxscore/_/gameId/401326367" xr:uid="{AAB25F79-B11A-7D49-8C01-52759CD34B1C}"/>
    <hyperlink ref="E2" r:id="rId5" display="http://www.espn.com/nfl/boxscore/_/gameId/401326389" xr:uid="{E8B10642-5F42-7C41-B9CA-09A608D71A3C}"/>
    <hyperlink ref="F2" r:id="rId6" display="http://www.espn.com/nfl/boxscore/_/gameId/401326406" xr:uid="{5B5D9585-2D16-EB4A-B0D5-A63C33EE634D}"/>
    <hyperlink ref="G2" r:id="rId7" display="http://www.espn.com/nfl/boxscore/_/gameId/401326418" xr:uid="{3964AF1C-CE6B-2048-ABD7-984D9F245BEB}"/>
    <hyperlink ref="H2" r:id="rId8" display="http://www.espn.com/nfl/boxscore/_/gameId/401326432" xr:uid="{3A248133-8637-5C40-83D2-817C1D6EA2DB}"/>
    <hyperlink ref="I2" r:id="rId9" display="http://www.espn.com/nfl/boxscore/_/gameId/401326436" xr:uid="{6D0148A1-3C1D-4243-BAD7-D68DD933574F}"/>
    <hyperlink ref="J2" r:id="rId10" display="http://www.espn.com/nfl/boxscore/_/gameId/401326462" xr:uid="{0EF9C8FB-725C-4C42-9A47-608ABC37CB42}"/>
    <hyperlink ref="K2" r:id="rId11" display="http://www.espn.com/nfl/boxscore/_/gameId/401326473" xr:uid="{49909329-A222-7A4A-AAC5-B79DC8A85C69}"/>
    <hyperlink ref="L2" r:id="rId12" display="http://www.espn.com/nfl/boxscore/_/gameId/401326491" xr:uid="{8A26F5D3-0B07-DF4B-AA39-2E80055F9D7D}"/>
    <hyperlink ref="N2" r:id="rId13" display="http://www.espn.com/nfl/boxscore/_/gameId/401326511" xr:uid="{EEA45863-092E-7541-906D-8F4E9CC6CE22}"/>
    <hyperlink ref="O2" r:id="rId14" display="http://www.espn.com/nfl/boxscore/_/gameId/401326536" xr:uid="{74BD8E53-129C-EA4A-AF81-CB6B258CED48}"/>
    <hyperlink ref="A3" r:id="rId15" display="http://www.espn.com/nfl/team/_/name/atl/atlanta-falcons" xr:uid="{801496EC-0D15-974A-8C8A-DC7C4DC39B84}"/>
    <hyperlink ref="B3" r:id="rId16" display="http://www.espn.com/nfl/boxscore/_/gameId/401326315" xr:uid="{29E91369-196E-7D4E-89A8-D36ED5D86B24}"/>
    <hyperlink ref="C3" r:id="rId17" display="http://www.espn.com/nfl/boxscore/_/gameId/401326358" xr:uid="{03966D04-2440-F443-93E3-C47B64D99AA4}"/>
    <hyperlink ref="D3" r:id="rId18" display="http://www.espn.com/nfl/boxscore/_/gameId/401326370" xr:uid="{BA687315-11F0-3E4A-B263-5091208064DA}"/>
    <hyperlink ref="E3" r:id="rId19" display="http://www.espn.com/nfl/boxscore/_/gameId/401326380" xr:uid="{9F18AD18-F1D1-E14B-82F4-E0BE5E1B242E}"/>
    <hyperlink ref="F3" r:id="rId20" display="http://www.espn.com/nfl/boxscore/_/gameId/401326324" xr:uid="{611A0FE4-C161-A84B-88E0-D986FC7B3453}"/>
    <hyperlink ref="H3" r:id="rId21" display="http://www.espn.com/nfl/boxscore/_/gameId/401326426" xr:uid="{D5B5C9DE-25AA-7E43-8579-4E5D61E0BF30}"/>
    <hyperlink ref="I3" r:id="rId22" display="http://www.espn.com/nfl/boxscore/_/gameId/401326437" xr:uid="{51FE6955-E519-E844-B929-945DC9571225}"/>
    <hyperlink ref="J3" r:id="rId23" display="http://www.espn.com/nfl/boxscore/_/gameId/401326458" xr:uid="{3CF95E95-4454-D348-A87E-C16E7FA46E61}"/>
    <hyperlink ref="K3" r:id="rId24" display="http://www.espn.com/nfl/boxscore/_/gameId/401326466" xr:uid="{0738BED9-AF66-8B4C-AEF2-E653EB8404E9}"/>
    <hyperlink ref="L3" r:id="rId25" display="http://www.espn.com/nfl/boxscore/_/gameId/401326479" xr:uid="{DB92F2DA-F45B-3B42-A8BA-C4667F283287}"/>
    <hyperlink ref="M3" r:id="rId26" display="http://www.espn.com/nfl/boxscore/_/gameId/401326500" xr:uid="{827557E9-E43D-6340-B914-FC696B8DC6AD}"/>
    <hyperlink ref="N3" r:id="rId27" display="http://www.espn.com/nfl/boxscore/_/gameId/401326510" xr:uid="{59926982-1EF3-7D4F-BA0E-A7D0FBF8110C}"/>
    <hyperlink ref="O3" r:id="rId28" display="http://www.espn.com/nfl/boxscore/_/gameId/401326524" xr:uid="{1772418D-7D06-7748-BAAA-F6C8235332BC}"/>
    <hyperlink ref="A4" r:id="rId29" display="http://www.espn.com/nfl/team/_/name/bal/baltimore-ravens" xr:uid="{C869C76B-2741-3440-9758-E997A0442327}"/>
    <hyperlink ref="B4" r:id="rId30" display="http://www.espn.com/nfl/boxscore/_/gameId/401326321" xr:uid="{0139CD76-4485-FB46-8D00-B0A73BE7F0CC}"/>
    <hyperlink ref="C4" r:id="rId31" display="http://www.espn.com/nfl/boxscore/_/gameId/401326361" xr:uid="{34351BA1-5270-8A41-8703-F4CA10A11421}"/>
    <hyperlink ref="D4" r:id="rId32" display="http://www.espn.com/nfl/boxscore/_/gameId/401326366" xr:uid="{4B6473DB-30BF-7943-8A2E-E633DF258005}"/>
    <hyperlink ref="E4" r:id="rId33" display="http://www.espn.com/nfl/boxscore/_/gameId/401326391" xr:uid="{E97C23BD-7812-344D-971A-5D379B9B074C}"/>
    <hyperlink ref="F4" r:id="rId34" display="http://www.espn.com/nfl/boxscore/_/gameId/401326409" xr:uid="{77EBDAD9-8F5C-C742-B1A2-7AC14D509F60}"/>
    <hyperlink ref="G4" r:id="rId35" display="http://www.espn.com/nfl/boxscore/_/gameId/401326411" xr:uid="{0D278AAE-66E9-7E4F-9B30-6BE3ED1D1C05}"/>
    <hyperlink ref="H4" r:id="rId36" display="http://www.espn.com/nfl/boxscore/_/gameId/401326424" xr:uid="{496EFBDA-BBB5-EC46-AD50-0310CD665A7A}"/>
    <hyperlink ref="J4" r:id="rId37" display="http://www.espn.com/nfl/boxscore/_/gameId/401326452" xr:uid="{A5F19F12-8CC6-3549-B524-62F51C74B2D9}"/>
    <hyperlink ref="K4" r:id="rId38" display="http://www.espn.com/nfl/boxscore/_/gameId/401326465" xr:uid="{9E717C03-2760-E34E-A092-D3AA37580A5D}"/>
    <hyperlink ref="L4" r:id="rId39" display="http://www.espn.com/nfl/boxscore/_/gameId/401326482" xr:uid="{A74793E8-1D68-FF46-B27F-73BA1458BE17}"/>
    <hyperlink ref="M4" r:id="rId40" display="http://www.espn.com/nfl/boxscore/_/gameId/401326507" xr:uid="{BDA20326-63AD-A645-9783-55EC3A913A7C}"/>
    <hyperlink ref="N4" r:id="rId41" display="http://www.espn.com/nfl/boxscore/_/gameId/401326520" xr:uid="{35764CDB-099B-B645-8E34-C8BD3D4A4B86}"/>
    <hyperlink ref="O4" r:id="rId42" display="http://www.espn.com/nfl/boxscore/_/gameId/401326526" xr:uid="{54E8B958-7E00-5E42-A8F2-F9D4B1B75B64}"/>
    <hyperlink ref="A5" r:id="rId43" display="http://www.espn.com/nfl/team/_/name/buf/buffalo-bills" xr:uid="{072DFD47-5F76-E245-8222-15AC9C45EFE2}"/>
    <hyperlink ref="B5" r:id="rId44" display="http://www.espn.com/nfl/boxscore/_/gameId/401326308" xr:uid="{927D245E-6CAB-DC41-9A43-0DB91533A46B}"/>
    <hyperlink ref="C5" r:id="rId45" display="http://www.espn.com/nfl/boxscore/_/gameId/401326353" xr:uid="{8852A967-5DD4-1949-94FD-FB89C89A63EE}"/>
    <hyperlink ref="D5" r:id="rId46" display="http://www.espn.com/nfl/boxscore/_/gameId/401326364" xr:uid="{23032723-F73F-6B4E-8A6D-10462E97BF9A}"/>
    <hyperlink ref="E5" r:id="rId47" display="http://www.espn.com/nfl/boxscore/_/gameId/401326381" xr:uid="{738410C0-3392-1E47-82C4-4E6CB7C4E36C}"/>
    <hyperlink ref="F5" r:id="rId48" display="http://www.espn.com/nfl/boxscore/_/gameId/401326408" xr:uid="{519D3981-3C42-D243-BF7D-5646D05C587C}"/>
    <hyperlink ref="G5" r:id="rId49" display="http://www.espn.com/nfl/boxscore/_/gameId/401326422" xr:uid="{DE160BD5-BA19-7D41-9B85-8769014FB246}"/>
    <hyperlink ref="I5" r:id="rId50" display="http://www.espn.com/nfl/boxscore/_/gameId/401326438" xr:uid="{28594869-BFAC-3844-A9EA-42CD8425645C}"/>
    <hyperlink ref="J5" r:id="rId51" display="http://www.espn.com/nfl/boxscore/_/gameId/401326456" xr:uid="{00E0DA37-C7F8-6645-8373-60F4FA1F8CFB}"/>
    <hyperlink ref="K5" r:id="rId52" display="http://www.espn.com/nfl/boxscore/_/gameId/401326469" xr:uid="{AB4CB1C4-42AA-3342-B0B8-7A8F9F9BB432}"/>
    <hyperlink ref="L5" r:id="rId53" display="http://www.espn.com/nfl/boxscore/_/gameId/401326480" xr:uid="{F18A64E4-3218-9748-B6DE-8FAFBAA7B09A}"/>
    <hyperlink ref="M5" r:id="rId54" display="http://www.espn.com/nfl/boxscore/_/gameId/401326496" xr:uid="{8C2487E3-7EF6-4F4D-8AEB-C7D6A4EC87C3}"/>
    <hyperlink ref="N5" r:id="rId55" display="http://www.espn.com/nfl/boxscore/_/gameId/401326522" xr:uid="{1DABA97A-1742-2145-BBF2-1779CAB5A51B}"/>
    <hyperlink ref="O5" r:id="rId56" display="http://www.espn.com/nfl/boxscore/_/gameId/401326534" xr:uid="{F5040356-3CBC-144E-BB9A-09AB0AAC9F1F}"/>
    <hyperlink ref="A6" r:id="rId57" display="http://www.espn.com/nfl/team/_/name/car/carolina-panthers" xr:uid="{D0ABF0FC-16DA-9947-8592-0F45B21B2465}"/>
    <hyperlink ref="B6" r:id="rId58" display="http://www.espn.com/nfl/boxscore/_/gameId/401326309" xr:uid="{AE9784DE-5B74-AA4A-8A4D-D209ED72C0A9}"/>
    <hyperlink ref="C6" r:id="rId59" display="http://www.espn.com/nfl/boxscore/_/gameId/401326128" xr:uid="{2E7CE6D3-84C4-B94E-BB3C-035DF906789B}"/>
    <hyperlink ref="D6" r:id="rId60" display="http://www.espn.com/nfl/boxscore/_/gameId/401326363" xr:uid="{117B0A6B-BA6E-7544-BE23-5C33DBCDAB9C}"/>
    <hyperlink ref="E6" r:id="rId61" display="http://www.espn.com/nfl/boxscore/_/gameId/401326383" xr:uid="{F833E6FC-DC03-FB4F-B734-F54CF73ABB4D}"/>
    <hyperlink ref="F6" r:id="rId62" display="http://www.espn.com/nfl/boxscore/_/gameId/401326396" xr:uid="{14B4355D-FF0A-374F-B2A1-AE68A4AD699F}"/>
    <hyperlink ref="G6" r:id="rId63" display="http://www.espn.com/nfl/boxscore/_/gameId/401326412" xr:uid="{6F2B7B08-02CB-A94D-9CF5-2735271206E0}"/>
    <hyperlink ref="H6" r:id="rId64" display="http://www.espn.com/nfl/boxscore/_/gameId/401326428" xr:uid="{AC972F82-61CA-184A-96B4-83C245F5E7E9}"/>
    <hyperlink ref="I6" r:id="rId65" display="http://www.espn.com/nfl/boxscore/_/gameId/401326437" xr:uid="{D1DB2BC8-96DE-9949-B84E-B80878CCC521}"/>
    <hyperlink ref="J6" r:id="rId66" display="http://www.espn.com/nfl/boxscore/_/gameId/401326453" xr:uid="{7F067CE9-9F43-D24D-91E4-520441CA61D6}"/>
    <hyperlink ref="K6" r:id="rId67" display="http://www.espn.com/nfl/boxscore/_/gameId/401326473" xr:uid="{B9EBBB9F-70CE-F142-B295-CF9CEBC6E2EB}"/>
    <hyperlink ref="L6" r:id="rId68" display="http://www.espn.com/nfl/boxscore/_/gameId/401326481" xr:uid="{E9ABA795-B686-DB45-AC4B-22E68F41CF5D}"/>
    <hyperlink ref="M6" r:id="rId69" display="http://www.espn.com/nfl/boxscore/_/gameId/401326501" xr:uid="{3514E8C5-C815-0745-A3A1-391560FFF3F0}"/>
    <hyperlink ref="O6" r:id="rId70" display="http://www.espn.com/nfl/boxscore/_/gameId/401326524" xr:uid="{30AE0296-6B06-8B46-A123-44078E8E6DEF}"/>
    <hyperlink ref="A7" r:id="rId71" display="http://www.espn.com/nfl/team/_/name/chi/chicago-bears" xr:uid="{0EF53BC1-B10A-E348-9A5F-180593E2CB4B}"/>
    <hyperlink ref="B7" r:id="rId72" display="http://www.espn.com/nfl/boxscore/_/gameId/401326323" xr:uid="{07D45427-D692-C547-8D39-97625ABBDA1B}"/>
    <hyperlink ref="C7" r:id="rId73" display="http://www.espn.com/nfl/boxscore/_/gameId/401326129" xr:uid="{97B5A3A3-451C-D249-8966-F4778088EF5E}"/>
    <hyperlink ref="D7" r:id="rId74" display="http://www.espn.com/nfl/boxscore/_/gameId/401326365" xr:uid="{A40C1A7F-D1C0-284C-8EB5-E01A7110C7A2}"/>
    <hyperlink ref="E7" r:id="rId75" display="http://www.espn.com/nfl/boxscore/_/gameId/401326382" xr:uid="{F463EBE1-C423-444E-B2FC-AEC0CD0F9EB7}"/>
    <hyperlink ref="F7" r:id="rId76" display="http://www.espn.com/nfl/boxscore/_/gameId/401326405" xr:uid="{50C3DBFE-3EFE-1E46-9DF9-F384381ADC26}"/>
    <hyperlink ref="G7" r:id="rId77" display="http://www.espn.com/nfl/boxscore/_/gameId/401326413" xr:uid="{3F49A325-2880-E345-8FDA-5105997468F2}"/>
    <hyperlink ref="H7" r:id="rId78" display="http://www.espn.com/nfl/boxscore/_/gameId/401326433" xr:uid="{DB32972F-D252-2D4D-BADC-AA8FE4547845}"/>
    <hyperlink ref="I7" r:id="rId79" display="http://www.espn.com/nfl/boxscore/_/gameId/401326439" xr:uid="{90A9DBE8-F659-BC42-B02E-AF17B3F63E03}"/>
    <hyperlink ref="J7" r:id="rId80" display="http://www.espn.com/nfl/boxscore/_/gameId/401326464" xr:uid="{BC60F630-018B-8A4C-84F0-4EA4C1A9C78D}"/>
    <hyperlink ref="L7" r:id="rId81" display="http://www.espn.com/nfl/boxscore/_/gameId/401326482" xr:uid="{C2083DD1-3FA5-D046-B0EC-6B34237B9D78}"/>
    <hyperlink ref="M7" r:id="rId82" display="http://www.espn.com/nfl/boxscore/_/gameId/401326494" xr:uid="{D415753A-8696-6D49-B2AA-86BB9FF2E31C}"/>
    <hyperlink ref="N7" r:id="rId83" display="http://www.espn.com/nfl/boxscore/_/gameId/401326511" xr:uid="{6943A555-3401-FF48-8E45-706A6A8E0411}"/>
    <hyperlink ref="O7" r:id="rId84" display="http://www.espn.com/nfl/boxscore/_/gameId/401326535" xr:uid="{49F90A97-AAF0-E941-97F7-F03D73C67C94}"/>
    <hyperlink ref="A8" r:id="rId85" display="http://www.espn.com/nfl/team/_/name/cin/cincinnati-bengals" xr:uid="{607E954E-0159-8D4E-9CE4-5FB4FAB33AD0}"/>
    <hyperlink ref="B8" r:id="rId86" display="http://www.espn.com/nfl/boxscore/_/gameId/401326316" xr:uid="{0DBED4C1-5622-D240-802A-DFAEFB0397C0}"/>
    <hyperlink ref="C8" r:id="rId87" display="http://www.espn.com/nfl/boxscore/_/gameId/401326129" xr:uid="{29702E1C-8B86-DA44-8445-FCC40CB1973D}"/>
    <hyperlink ref="D8" r:id="rId88" display="http://www.espn.com/nfl/boxscore/_/gameId/401326371" xr:uid="{9FF97F53-0A4B-3D4C-AEEF-C3D288BAC0D7}"/>
    <hyperlink ref="E8" r:id="rId89" display="http://www.espn.com/nfl/boxscore/_/gameId/401326379" xr:uid="{8A96A3B7-EEF7-7E4A-9288-14F64D4ADA82}"/>
    <hyperlink ref="F8" r:id="rId90" display="http://www.espn.com/nfl/boxscore/_/gameId/401326397" xr:uid="{6087553F-82CA-4D4D-84C4-FF60F2E4AB98}"/>
    <hyperlink ref="G8" r:id="rId91" display="http://www.espn.com/nfl/boxscore/_/gameId/401326414" xr:uid="{4069956B-7A3E-D240-AF9C-AAA2073EAD66}"/>
    <hyperlink ref="H8" r:id="rId92" display="http://www.espn.com/nfl/boxscore/_/gameId/401326424" xr:uid="{A96D0050-B34B-3B4E-B65B-1DC039D70405}"/>
    <hyperlink ref="I8" r:id="rId93" display="http://www.espn.com/nfl/boxscore/_/gameId/401326444" xr:uid="{455FF374-BC39-794C-AD2F-DBC0D2DB22EE}"/>
    <hyperlink ref="J8" r:id="rId94" display="http://www.espn.com/nfl/boxscore/_/gameId/401326454" xr:uid="{482C432D-FA8D-674C-AA77-884CBED02679}"/>
    <hyperlink ref="L8" r:id="rId95" display="http://www.espn.com/nfl/boxscore/_/gameId/401326489" xr:uid="{59BD75AD-594D-3F4C-A4AB-F2DFE2601681}"/>
    <hyperlink ref="M8" r:id="rId96" display="http://www.espn.com/nfl/boxscore/_/gameId/401326497" xr:uid="{6765E0E1-3FC5-C84E-9A1B-A8513E39E17D}"/>
    <hyperlink ref="N8" r:id="rId97" display="http://www.espn.com/nfl/boxscore/_/gameId/401326512" xr:uid="{BEFA411A-2D45-594D-A0FF-A98D20A9F8EF}"/>
    <hyperlink ref="O8" r:id="rId98" display="http://www.espn.com/nfl/boxscore/_/gameId/401326525" xr:uid="{5B013ED8-F123-4A4F-9D14-145E2960D72A}"/>
    <hyperlink ref="A9" r:id="rId99" display="http://www.espn.com/nfl/team/_/name/cle/cleveland-browns" xr:uid="{41B032BD-F1F8-5541-A106-DC6F5BD3F9E8}"/>
    <hyperlink ref="B9" r:id="rId100" display="http://www.espn.com/nfl/boxscore/_/gameId/401326314" xr:uid="{5FAF852C-AF65-3345-AC0B-754396394C0D}"/>
    <hyperlink ref="C9" r:id="rId101" display="http://www.espn.com/nfl/boxscore/_/gameId/401326130" xr:uid="{5A0B9449-ADD5-4840-8BBA-445997779E30}"/>
    <hyperlink ref="D9" r:id="rId102" display="http://www.espn.com/nfl/boxscore/_/gameId/401326365" xr:uid="{74592761-99DC-B24C-A59D-ADFAE79086ED}"/>
    <hyperlink ref="E9" r:id="rId103" display="http://www.espn.com/nfl/boxscore/_/gameId/401326385" xr:uid="{6FEA4A73-6CDA-E546-854B-8360C502141B}"/>
    <hyperlink ref="F9" r:id="rId104" display="http://www.espn.com/nfl/boxscore/_/gameId/401326404" xr:uid="{74C58072-97D7-5242-9FCD-EAECE51313C5}"/>
    <hyperlink ref="G9" r:id="rId105" display="http://www.espn.com/nfl/boxscore/_/gameId/401326418" xr:uid="{BDDBC083-56FE-3242-9FB9-8CD8A4E474E2}"/>
    <hyperlink ref="H9" r:id="rId106" display="http://www.espn.com/nfl/boxscore/_/gameId/401326423" xr:uid="{D0D79DDD-016F-C542-BC88-C97C4258EABC}"/>
    <hyperlink ref="I9" r:id="rId107" display="http://www.espn.com/nfl/boxscore/_/gameId/401326440" xr:uid="{DACA5F51-5E64-064C-838D-F2C581594115}"/>
    <hyperlink ref="J9" r:id="rId108" display="http://www.espn.com/nfl/boxscore/_/gameId/401326454" xr:uid="{0D51FECB-ED1C-854D-BED1-B71E4FBCF85F}"/>
    <hyperlink ref="K9" r:id="rId109" display="http://www.espn.com/nfl/boxscore/_/gameId/401326468" xr:uid="{862CCBF1-7B62-0240-8588-4159F4615051}"/>
    <hyperlink ref="L9" r:id="rId110" display="http://www.espn.com/nfl/boxscore/_/gameId/401326483" xr:uid="{665AE59E-4AB8-304C-986F-B10B8467DD48}"/>
    <hyperlink ref="M9" r:id="rId111" display="http://www.espn.com/nfl/boxscore/_/gameId/401326507" xr:uid="{44A1C50F-128F-4A44-83E6-037075AD6FB2}"/>
    <hyperlink ref="O9" r:id="rId112" display="http://www.espn.com/nfl/boxscore/_/gameId/401326526" xr:uid="{D166BAE0-9443-DE42-9D17-5A57301515BD}"/>
    <hyperlink ref="A10" r:id="rId113" display="http://www.espn.com/nfl/team/_/name/dal/dallas-cowboys" xr:uid="{69B4DE94-12A7-9149-8389-701651377815}"/>
    <hyperlink ref="B10" r:id="rId114" display="http://www.espn.com/nfl/boxscore/_/gameId/401326322" xr:uid="{1637F8AD-0A06-6C4F-86EA-B8D6F284B125}"/>
    <hyperlink ref="C10" r:id="rId115" display="http://www.espn.com/nfl/boxscore/_/gameId/401326359" xr:uid="{1A301332-536D-6E4D-9F41-078926F35A2A}"/>
    <hyperlink ref="D10" r:id="rId116" display="http://www.espn.com/nfl/boxscore/_/gameId/401326378" xr:uid="{723F2756-6151-BB42-B482-5CC9E58E5FE7}"/>
    <hyperlink ref="E10" r:id="rId117" display="http://www.espn.com/nfl/boxscore/_/gameId/401326383" xr:uid="{49FDB470-1D1E-9447-8352-1116D7AB2E9F}"/>
    <hyperlink ref="F10" r:id="rId118" display="http://www.espn.com/nfl/boxscore/_/gameId/401326407" xr:uid="{95673294-D286-D34A-AB46-EEFCBADC2DB9}"/>
    <hyperlink ref="G10" r:id="rId119" display="http://www.espn.com/nfl/boxscore/_/gameId/401326420" xr:uid="{E2937E04-2D06-1842-A77D-D4CEEBF897E8}"/>
    <hyperlink ref="I10" r:id="rId120" display="http://www.espn.com/nfl/boxscore/_/gameId/401326449" xr:uid="{50B26836-85DC-B740-B53A-3012A796608F}"/>
    <hyperlink ref="J10" r:id="rId121" display="http://www.espn.com/nfl/boxscore/_/gameId/401326455" xr:uid="{D4A5830B-FA54-A847-AF75-4F6D4285654F}"/>
    <hyperlink ref="K10" r:id="rId122" display="http://www.espn.com/nfl/boxscore/_/gameId/401326466" xr:uid="{E28CD14B-AB5F-9846-8CDA-B0054DF6C999}"/>
    <hyperlink ref="L10" r:id="rId123" display="http://www.espn.com/nfl/boxscore/_/gameId/401326490" xr:uid="{15E8F0C9-720A-FB44-8F30-FBEE3A36015E}"/>
    <hyperlink ref="M10" r:id="rId124" display="http://www.espn.com/nfl/boxscore/_/gameId/401326495" xr:uid="{0D8B3C29-438D-8148-AC98-169BEA7FBF0F}"/>
    <hyperlink ref="N10" r:id="rId125" display="http://www.espn.com/nfl/boxscore/_/gameId/401326509" xr:uid="{EAD257CC-0731-374F-A35C-7808BCEEF623}"/>
    <hyperlink ref="O10" r:id="rId126" display="http://www.espn.com/nfl/boxscore/_/gameId/401326531" xr:uid="{BAF04EF4-4FF0-D94D-B513-2AD33CFE1965}"/>
    <hyperlink ref="A11" r:id="rId127" display="http://www.espn.com/nfl/team/_/name/den/denver-broncos" xr:uid="{AEE40769-DCA1-8944-A735-FD933BF7286F}"/>
    <hyperlink ref="B11" r:id="rId128" display="http://www.espn.com/nfl/boxscore/_/gameId/401326320" xr:uid="{CF088FBC-9484-3249-9F78-33CED1C835BC}"/>
    <hyperlink ref="C11" r:id="rId129" display="http://www.espn.com/nfl/boxscore/_/gameId/401326132" xr:uid="{93858BC5-E75C-4A4D-B106-BF5913223343}"/>
    <hyperlink ref="D11" r:id="rId130" display="http://www.espn.com/nfl/boxscore/_/gameId/401326373" xr:uid="{5747CB58-64E4-EB42-AA89-7F4A1896BD82}"/>
    <hyperlink ref="E11" r:id="rId131" display="http://www.espn.com/nfl/boxscore/_/gameId/401326391" xr:uid="{8019ABD1-CE8C-D34C-BFF8-A1FA361DE7F4}"/>
    <hyperlink ref="F11" r:id="rId132" display="http://www.espn.com/nfl/boxscore/_/gameId/401326401" xr:uid="{E66343F2-E7E4-EE44-9176-F8C7C106D262}"/>
    <hyperlink ref="G11" r:id="rId133" display="http://www.espn.com/nfl/boxscore/_/gameId/401326419" xr:uid="{3235E604-3107-EA4C-8203-76F33DE6C1EE}"/>
    <hyperlink ref="H11" r:id="rId134" display="http://www.espn.com/nfl/boxscore/_/gameId/401326423" xr:uid="{A61188C2-9804-9541-B12B-64EBE760545E}"/>
    <hyperlink ref="I11" r:id="rId135" display="http://www.espn.com/nfl/boxscore/_/gameId/401326447" xr:uid="{996E2F8A-7024-5042-9B46-42FE7E80B44B}"/>
    <hyperlink ref="J11" r:id="rId136" display="http://www.espn.com/nfl/boxscore/_/gameId/401326455" xr:uid="{E411B08B-279A-1B40-91AE-8B2AAAD19577}"/>
    <hyperlink ref="K11" r:id="rId137" display="http://www.espn.com/nfl/boxscore/_/gameId/401326475" xr:uid="{6503BA8C-87DD-2144-8459-37398DCAFA00}"/>
    <hyperlink ref="M11" r:id="rId138" display="http://www.espn.com/nfl/boxscore/_/gameId/401326504" xr:uid="{9C507EB1-A246-474C-A482-4753EFEC7CCC}"/>
    <hyperlink ref="N11" r:id="rId139" display="http://www.espn.com/nfl/boxscore/_/gameId/401326515" xr:uid="{A54EF6DE-A6EC-B543-BB7E-0D9BE85B294C}"/>
    <hyperlink ref="O11" r:id="rId140" display="http://www.espn.com/nfl/boxscore/_/gameId/401326532" xr:uid="{53B8497A-AEB9-694D-8AAF-28C6D9ABB61A}"/>
    <hyperlink ref="A12" r:id="rId141" display="http://www.espn.com/nfl/team/_/name/det/detroit-lions" xr:uid="{80D72651-46F0-FA45-8AD8-B3FCCE17C708}"/>
    <hyperlink ref="B12" r:id="rId142" display="http://www.espn.com/nfl/boxscore/_/gameId/401326317" xr:uid="{67D0A33B-5866-F140-AA89-D39C580ACF4F}"/>
    <hyperlink ref="C12" r:id="rId143" display="http://www.espn.com/nfl/boxscore/_/gameId/401326362" xr:uid="{54A362B2-48A8-F143-A64F-D9BB09F280F6}"/>
    <hyperlink ref="D12" r:id="rId144" display="http://www.espn.com/nfl/boxscore/_/gameId/401326366" xr:uid="{836C02C3-081A-4444-8D42-3069A86A6474}"/>
    <hyperlink ref="E12" r:id="rId145" display="http://www.espn.com/nfl/boxscore/_/gameId/401326382" xr:uid="{78EB9EE8-E60F-3342-A797-249B36BA24B9}"/>
    <hyperlink ref="F12" r:id="rId146" display="http://www.espn.com/nfl/boxscore/_/gameId/401326400" xr:uid="{F2057CD2-2657-7A41-AC6D-9648B80896C8}"/>
    <hyperlink ref="G12" r:id="rId147" display="http://www.espn.com/nfl/boxscore/_/gameId/401326414" xr:uid="{D2BB1BF5-C3FA-4546-8153-B429D3BAF4DB}"/>
    <hyperlink ref="H12" r:id="rId148" display="http://www.espn.com/nfl/boxscore/_/gameId/401326430" xr:uid="{37366DE0-8AD8-844E-8AAC-653BC6A1A065}"/>
    <hyperlink ref="I12" r:id="rId149" display="http://www.espn.com/nfl/boxscore/_/gameId/401326441" xr:uid="{CC1416EB-438D-4F4A-9076-BEF19201E943}"/>
    <hyperlink ref="K12" r:id="rId150" display="http://www.espn.com/nfl/boxscore/_/gameId/401326470" xr:uid="{B849A4C7-7904-8542-BFB8-C9C42335DAFC}"/>
    <hyperlink ref="L12" r:id="rId151" display="http://www.espn.com/nfl/boxscore/_/gameId/401326483" xr:uid="{77531352-7137-654E-A305-841191E88FE1}"/>
    <hyperlink ref="M12" r:id="rId152" display="http://www.espn.com/nfl/boxscore/_/gameId/401326494" xr:uid="{EFE5A56D-1CF1-B44D-9E79-BDFE5C3D084A}"/>
    <hyperlink ref="N12" r:id="rId153" display="http://www.espn.com/nfl/boxscore/_/gameId/401326513" xr:uid="{0679F2DB-6513-FC40-BCF8-10786D61B7EC}"/>
    <hyperlink ref="O12" r:id="rId154" display="http://www.espn.com/nfl/boxscore/_/gameId/401326532" xr:uid="{96251737-AF5B-A84D-8ED0-F05D6CFC98F1}"/>
    <hyperlink ref="A13" r:id="rId155" display="http://www.espn.com/nfl/team/_/name/gb/green-bay-packers" xr:uid="{BF0A4247-6C5F-1E4F-9380-9C7C9940AC79}"/>
    <hyperlink ref="B13" r:id="rId156" display="http://www.espn.com/nfl/boxscore/_/gameId/401326319" xr:uid="{BDFAE526-8820-DE40-942F-5AC035FFA6DE}"/>
    <hyperlink ref="C13" r:id="rId157" display="http://www.espn.com/nfl/boxscore/_/gameId/401326362" xr:uid="{0ABA6857-E8E0-294A-AF6F-B81782EE7110}"/>
    <hyperlink ref="D13" r:id="rId158" display="http://www.espn.com/nfl/boxscore/_/gameId/401326377" xr:uid="{66CDC841-87DF-2941-BC2E-D11E77B0BD9B}"/>
    <hyperlink ref="E13" r:id="rId159" display="http://www.espn.com/nfl/boxscore/_/gameId/401326392" xr:uid="{CB1D4553-73E7-F542-8A59-9A2E84C1549C}"/>
    <hyperlink ref="F13" r:id="rId160" display="http://www.espn.com/nfl/boxscore/_/gameId/401326397" xr:uid="{84538219-6D2A-7C4F-8C00-8572EE158BEC}"/>
    <hyperlink ref="G13" r:id="rId161" display="http://www.espn.com/nfl/boxscore/_/gameId/401326413" xr:uid="{1CEE3BBD-9D25-0D4C-B1EA-DC57D5788933}"/>
    <hyperlink ref="H13" r:id="rId162" display="http://www.espn.com/nfl/boxscore/_/gameId/401326425" xr:uid="{521BEF18-F8DE-5744-BB18-632C1A7F4B14}"/>
    <hyperlink ref="I13" r:id="rId163" display="http://www.espn.com/nfl/boxscore/_/gameId/401326436" xr:uid="{C31D7AC2-DEB4-8144-ABD8-5531AB1BB180}"/>
    <hyperlink ref="J13" r:id="rId164" display="http://www.espn.com/nfl/boxscore/_/gameId/401326461" xr:uid="{162866A0-9F20-A344-A4C3-AB5FD3E300CB}"/>
    <hyperlink ref="K13" r:id="rId165" display="http://www.espn.com/nfl/boxscore/_/gameId/401326476" xr:uid="{0D6C5DB5-1C71-1A47-BE46-16876BBEE677}"/>
    <hyperlink ref="L13" r:id="rId166" display="http://www.espn.com/nfl/boxscore/_/gameId/401326485" xr:uid="{58716D89-EBDB-4345-97A1-BA435351108C}"/>
    <hyperlink ref="M13" r:id="rId167" display="http://www.espn.com/nfl/boxscore/_/gameId/401326505" xr:uid="{385097AD-E0D8-1F4A-AE23-34DAB7C48C66}"/>
    <hyperlink ref="O13" r:id="rId168" display="http://www.espn.com/nfl/boxscore/_/gameId/401326535" xr:uid="{EF43BD75-ED66-5E4C-A3E3-DE6A5E98C7FE}"/>
    <hyperlink ref="A14" r:id="rId169" display="http://www.espn.com/nfl/team/_/name/hou/houston-texans" xr:uid="{5FDA4EBE-C61E-FD4A-B5CF-5004A8E97EAA}"/>
    <hyperlink ref="B14" r:id="rId170" display="http://www.espn.com/nfl/boxscore/_/gameId/401326310" xr:uid="{1CAEDB8D-F317-2A49-8270-80084659EEBA}"/>
    <hyperlink ref="C14" r:id="rId171" display="http://www.espn.com/nfl/boxscore/_/gameId/401326130" xr:uid="{A4F87D4E-E414-8640-AA2F-92AB452677D2}"/>
    <hyperlink ref="D14" r:id="rId172" display="http://www.espn.com/nfl/boxscore/_/gameId/401326363" xr:uid="{526FD58D-6AAB-AC4B-BC17-20A8C3292BAD}"/>
    <hyperlink ref="E14" r:id="rId173" display="http://www.espn.com/nfl/boxscore/_/gameId/401326381" xr:uid="{CBEB94D2-1FD7-1A4F-B109-DA72A0545C76}"/>
    <hyperlink ref="F14" r:id="rId174" display="http://www.espn.com/nfl/boxscore/_/gameId/401326398" xr:uid="{5A53FD45-852C-3A45-933F-F8524AAE5E6D}"/>
    <hyperlink ref="G14" r:id="rId175" display="http://www.espn.com/nfl/boxscore/_/gameId/401326415" xr:uid="{AC1A2D3A-AD84-8F40-8CB4-6ACB117CBFA3}"/>
    <hyperlink ref="H14" r:id="rId176" display="http://www.espn.com/nfl/boxscore/_/gameId/401326432" xr:uid="{33C667EE-3480-644F-AA26-D81A48752B05}"/>
    <hyperlink ref="I14" r:id="rId177" display="http://www.espn.com/nfl/boxscore/_/gameId/401326442" xr:uid="{219CE9A3-DAD4-B549-AFAE-024181762C26}"/>
    <hyperlink ref="J14" r:id="rId178" display="http://www.espn.com/nfl/boxscore/_/gameId/401326457" xr:uid="{A7CEF929-8ABF-1148-9A78-DA52A408E374}"/>
    <hyperlink ref="L14" r:id="rId179" display="http://www.espn.com/nfl/boxscore/_/gameId/401326488" xr:uid="{FB9C4A54-CFE7-464B-9476-36078F8D8FB6}"/>
    <hyperlink ref="M14" r:id="rId180" display="http://www.espn.com/nfl/boxscore/_/gameId/401326498" xr:uid="{DE9B5C77-4EF5-A94D-BC25-38AF7B2DAD89}"/>
    <hyperlink ref="N14" r:id="rId181" display="http://www.espn.com/nfl/boxscore/_/gameId/401326514" xr:uid="{E074FBC6-D0B4-404F-A6B7-7A56C5542E64}"/>
    <hyperlink ref="O14" r:id="rId182" display="http://www.espn.com/nfl/boxscore/_/gameId/401326527" xr:uid="{135F205E-2435-C54A-9D92-3311E20CF097}"/>
    <hyperlink ref="A15" r:id="rId183" display="http://www.espn.com/nfl/team/_/name/ind/indianapolis-colts" xr:uid="{332C1B55-F720-834D-81B3-06D61A454F9C}"/>
    <hyperlink ref="B15" r:id="rId184" display="http://www.espn.com/nfl/boxscore/_/gameId/401326318" xr:uid="{1FA26579-A388-5B44-8824-058BE300180F}"/>
    <hyperlink ref="C15" r:id="rId185" display="http://www.espn.com/nfl/boxscore/_/gameId/401326131" xr:uid="{5208EAD5-1B70-4746-9482-CB81D739C4C7}"/>
    <hyperlink ref="D15" r:id="rId186" display="http://www.espn.com/nfl/boxscore/_/gameId/401326372" xr:uid="{C2E98AAD-4DFB-5C49-AF9A-4B565AA79D0D}"/>
    <hyperlink ref="E15" r:id="rId187" display="http://www.espn.com/nfl/boxscore/_/gameId/401326384" xr:uid="{AF318A52-2225-A646-83C6-F2C9C050199C}"/>
    <hyperlink ref="F15" r:id="rId188" display="http://www.espn.com/nfl/boxscore/_/gameId/401326409" xr:uid="{6EDF4D7B-1D5C-3346-9086-98BDE090D1CD}"/>
    <hyperlink ref="G15" r:id="rId189" display="http://www.espn.com/nfl/boxscore/_/gameId/401326415" xr:uid="{710282E9-DF1D-4F42-B31C-C8D7829397DB}"/>
    <hyperlink ref="H15" r:id="rId190" display="http://www.espn.com/nfl/boxscore/_/gameId/401326434" xr:uid="{A534AE47-E138-8C41-A923-CCD04D538211}"/>
    <hyperlink ref="I15" r:id="rId191" display="http://www.espn.com/nfl/boxscore/_/gameId/401326443" xr:uid="{4A6DC9BE-3DBD-114D-AAB1-9ADCA5403A1E}"/>
    <hyperlink ref="J15" r:id="rId192" display="http://www.espn.com/nfl/boxscore/_/gameId/401326451" xr:uid="{17B9DAC3-B7CD-E341-ACA9-E4C6B13B64B9}"/>
    <hyperlink ref="K15" r:id="rId193" display="http://www.espn.com/nfl/boxscore/_/gameId/401326467" xr:uid="{61EE4550-4AEF-BC4A-AE9F-6CFA5C238B4E}"/>
    <hyperlink ref="L15" r:id="rId194" display="http://www.espn.com/nfl/boxscore/_/gameId/401326480" xr:uid="{7EA29F93-A6DE-CA43-97F5-F31977E10B52}"/>
    <hyperlink ref="M15" r:id="rId195" display="http://www.espn.com/nfl/boxscore/_/gameId/401326499" xr:uid="{17A28B0D-96B4-A946-8ABA-8BEBE999C208}"/>
    <hyperlink ref="N15" r:id="rId196" display="http://www.espn.com/nfl/boxscore/_/gameId/401326514" xr:uid="{9AE3E2B2-D276-404E-A48D-80866EADBCED}"/>
    <hyperlink ref="A16" r:id="rId197" display="http://www.espn.com/nfl/team/_/name/jax/jacksonville-jaguars" xr:uid="{A7FE63AD-982C-BC46-9AE1-5D9B7D3D71E2}"/>
    <hyperlink ref="B16" r:id="rId198" display="http://www.espn.com/nfl/boxscore/_/gameId/401326310" xr:uid="{4399FA40-819A-AE4F-BA30-437C6E662588}"/>
    <hyperlink ref="C16" r:id="rId199" display="http://www.espn.com/nfl/boxscore/_/gameId/401326132" xr:uid="{A4666071-6E5E-DF48-A233-DCE52B1ACF3D}"/>
    <hyperlink ref="D16" r:id="rId200" display="http://www.espn.com/nfl/boxscore/_/gameId/401326367" xr:uid="{C8E7E33D-3D4D-CD4A-AB75-692A73B49308}"/>
    <hyperlink ref="E16" r:id="rId201" display="http://www.espn.com/nfl/boxscore/_/gameId/401326379" xr:uid="{FEF7121B-A5FF-1A4B-9E96-31E39729C221}"/>
    <hyperlink ref="F16" r:id="rId202" display="http://www.espn.com/nfl/boxscore/_/gameId/401326399" xr:uid="{CC70CF1F-3D6A-0F49-AFF8-F96F735BCE78}"/>
    <hyperlink ref="G16" r:id="rId203" display="http://www.espn.com/nfl/boxscore/_/gameId/401326325" xr:uid="{B0B58F0D-C73F-1347-AC31-BFB5F223BA51}"/>
    <hyperlink ref="I16" r:id="rId204" display="http://www.espn.com/nfl/boxscore/_/gameId/401326446" xr:uid="{59785E97-A13B-A746-9ECC-893A914C4FF0}"/>
    <hyperlink ref="J16" r:id="rId205" display="http://www.espn.com/nfl/boxscore/_/gameId/401326456" xr:uid="{C03290C3-1207-A44A-935A-647365F5AD48}"/>
    <hyperlink ref="K16" r:id="rId206" display="http://www.espn.com/nfl/boxscore/_/gameId/401326467" xr:uid="{D459CA0E-C8BD-D246-944D-B75D6A435078}"/>
    <hyperlink ref="L16" r:id="rId207" display="http://www.espn.com/nfl/boxscore/_/gameId/401326484" xr:uid="{63990CBC-F1B8-9D41-8CB5-0FA0D12570F4}"/>
    <hyperlink ref="M16" r:id="rId208" display="http://www.espn.com/nfl/boxscore/_/gameId/401326500" xr:uid="{76794319-E5B0-FD44-BC58-6495BF4C87F1}"/>
    <hyperlink ref="N16" r:id="rId209" display="http://www.espn.com/nfl/boxscore/_/gameId/401326519" xr:uid="{9318AF32-61C6-7B4E-A7A8-B9C001DCDAE3}"/>
    <hyperlink ref="O16" r:id="rId210" display="http://www.espn.com/nfl/boxscore/_/gameId/401326530" xr:uid="{E1181DF4-DC5E-F047-B4BB-6B523E9F7DF0}"/>
    <hyperlink ref="A17" r:id="rId211" display="http://www.espn.com/nfl/team/_/name/kc/kansas-city-chiefs" xr:uid="{0F6F1156-C521-F44C-A66B-11423C8730D0}"/>
    <hyperlink ref="B17" r:id="rId212" display="http://www.espn.com/nfl/boxscore/_/gameId/401326314" xr:uid="{02FAC9FA-A909-244B-991D-88C3E15C8E19}"/>
    <hyperlink ref="C17" r:id="rId213" display="http://www.espn.com/nfl/boxscore/_/gameId/401326361" xr:uid="{5F20C5CE-F235-2540-88D2-830CB502E810}"/>
    <hyperlink ref="D17" r:id="rId214" display="http://www.espn.com/nfl/boxscore/_/gameId/401326368" xr:uid="{06B07A00-9FF4-AD4D-84C7-3391D38852D0}"/>
    <hyperlink ref="E17" r:id="rId215" display="http://www.espn.com/nfl/boxscore/_/gameId/401326388" xr:uid="{183A450F-972A-BE4D-9854-05D21A3F5A0A}"/>
    <hyperlink ref="F17" r:id="rId216" display="http://www.espn.com/nfl/boxscore/_/gameId/401326408" xr:uid="{E2C86454-69B1-5542-8583-894FC193A938}"/>
    <hyperlink ref="G17" r:id="rId217" display="http://www.espn.com/nfl/boxscore/_/gameId/401326417" xr:uid="{9C010D0E-83FE-8642-B979-222D3C052C12}"/>
    <hyperlink ref="H17" r:id="rId218" display="http://www.espn.com/nfl/boxscore/_/gameId/401326429" xr:uid="{743060B1-BA0F-6941-9A77-E341B035EBBA}"/>
    <hyperlink ref="I17" r:id="rId219" display="http://www.espn.com/nfl/boxscore/_/gameId/401326450" xr:uid="{332D1559-24D7-6646-B5AA-DAEBA915D79F}"/>
    <hyperlink ref="J17" r:id="rId220" display="http://www.espn.com/nfl/boxscore/_/gameId/401326461" xr:uid="{AD80C6F5-E102-5E40-BADA-A57706477613}"/>
    <hyperlink ref="K17" r:id="rId221" display="http://www.espn.com/nfl/boxscore/_/gameId/401326477" xr:uid="{4C322E86-38A3-1744-830E-F8E1BA9155FE}"/>
    <hyperlink ref="L17" r:id="rId222" display="http://www.espn.com/nfl/boxscore/_/gameId/401326490" xr:uid="{DC2F4166-C8B8-4944-A3E5-F406BC9CE357}"/>
    <hyperlink ref="N17" r:id="rId223" display="http://www.espn.com/nfl/boxscore/_/gameId/401326515" xr:uid="{58124293-6B56-D94F-98A9-4DC542C5FAA4}"/>
    <hyperlink ref="O17" r:id="rId224" display="http://www.espn.com/nfl/boxscore/_/gameId/401326528" xr:uid="{8C2CEB6F-9245-454E-9D18-B53DD7B7D5FB}"/>
    <hyperlink ref="A18" r:id="rId225" display="http://www.espn.com/nfl/team/_/name/lv/las-vegas-raiders" xr:uid="{3A98F3AF-7E41-7444-A159-820442B6194A}"/>
    <hyperlink ref="B18" r:id="rId226" display="http://www.espn.com/nfl/boxscore/_/gameId/401326321" xr:uid="{B401B987-061C-DD4B-A3D4-DDA58881506A}"/>
    <hyperlink ref="C18" r:id="rId227" display="http://www.espn.com/nfl/boxscore/_/gameId/401326356" xr:uid="{1837A779-0DC4-8943-A199-59D571D0C3ED}"/>
    <hyperlink ref="D18" r:id="rId228" display="http://www.espn.com/nfl/boxscore/_/gameId/401326374" xr:uid="{43C5DBE6-03EA-2245-98D9-98E7C3F0B2AA}"/>
    <hyperlink ref="E18" r:id="rId229" display="http://www.espn.com/nfl/boxscore/_/gameId/401326394" xr:uid="{8A7FF51F-2E21-B04F-9773-B6AFEB9F85DE}"/>
    <hyperlink ref="F18" r:id="rId230" display="http://www.espn.com/nfl/boxscore/_/gameId/401326405" xr:uid="{4C941FF9-99A2-D640-8AA6-A1D2E72EAD5E}"/>
    <hyperlink ref="G18" r:id="rId231" display="http://www.espn.com/nfl/boxscore/_/gameId/401326419" xr:uid="{4E58E1D9-206B-8A4A-B7DC-52E839441FA4}"/>
    <hyperlink ref="H18" r:id="rId232" display="http://www.espn.com/nfl/boxscore/_/gameId/401326431" xr:uid="{9AC0D0B0-8EC4-C146-93CA-692E79D53852}"/>
    <hyperlink ref="J18" r:id="rId233" display="http://www.espn.com/nfl/boxscore/_/gameId/401326459" xr:uid="{8D7E9425-62A4-584A-A0E1-10C7C4EEA7D0}"/>
    <hyperlink ref="K18" r:id="rId234" display="http://www.espn.com/nfl/boxscore/_/gameId/401326477" xr:uid="{CB821B47-CEE1-EB46-A10B-DFE8FDA105A6}"/>
    <hyperlink ref="L18" r:id="rId235" display="http://www.espn.com/nfl/boxscore/_/gameId/401326489" xr:uid="{2701C248-CB72-4749-9F7B-502A0CFD4464}"/>
    <hyperlink ref="M18" r:id="rId236" display="http://www.espn.com/nfl/boxscore/_/gameId/401326495" xr:uid="{F992F874-37BD-5E45-885C-7DCD54E04B0A}"/>
    <hyperlink ref="N18" r:id="rId237" display="http://www.espn.com/nfl/boxscore/_/gameId/401326518" xr:uid="{B4091BF2-08D4-F345-A4F1-43745C1A9523}"/>
    <hyperlink ref="O18" r:id="rId238" display="http://www.espn.com/nfl/boxscore/_/gameId/401326528" xr:uid="{E7808A2C-9588-CC4B-847F-A8C51B312A47}"/>
    <hyperlink ref="A19" r:id="rId239" display="http://www.espn.com/nfl/team/_/name/lar/los-angeles-rams" xr:uid="{2E397427-B65B-9A49-83A1-892946CFC449}"/>
    <hyperlink ref="B19" r:id="rId240" display="http://www.espn.com/nfl/boxscore/_/gameId/401326323" xr:uid="{AAEAD3B3-122F-3F40-9494-F4212BB5949F}"/>
    <hyperlink ref="C19" r:id="rId241" display="http://www.espn.com/nfl/boxscore/_/gameId/401326131" xr:uid="{E3CA1A65-876E-C440-B38B-C11D683A810C}"/>
    <hyperlink ref="D19" r:id="rId242" display="http://www.espn.com/nfl/boxscore/_/gameId/401326375" xr:uid="{784FFF00-4A6A-D847-B8A3-EDEEB4A7A82C}"/>
    <hyperlink ref="E19" r:id="rId243" display="http://www.espn.com/nfl/boxscore/_/gameId/401326389" xr:uid="{0D699A78-C8B8-C148-96B9-0738CEA9D450}"/>
    <hyperlink ref="F19" r:id="rId244" display="http://www.espn.com/nfl/boxscore/_/gameId/401326395" xr:uid="{C01A13CE-C9B9-FD41-867E-D1C6E5D02660}"/>
    <hyperlink ref="G19" r:id="rId245" display="http://www.espn.com/nfl/boxscore/_/gameId/401326416" xr:uid="{F1EAE651-9E9D-D74F-8347-D8AEC4894D09}"/>
    <hyperlink ref="H19" r:id="rId246" display="http://www.espn.com/nfl/boxscore/_/gameId/401326430" xr:uid="{AA06BD07-E691-114C-A9CC-C44C13AB9535}"/>
    <hyperlink ref="I19" r:id="rId247" display="http://www.espn.com/nfl/boxscore/_/gameId/401326442" xr:uid="{3D8D8B5A-6AFE-704D-8647-4297502F0BD3}"/>
    <hyperlink ref="J19" r:id="rId248" display="http://www.espn.com/nfl/boxscore/_/gameId/401326463" xr:uid="{32BB4931-3FDD-3845-A089-371F1B1B8D7D}"/>
    <hyperlink ref="K19" r:id="rId249" display="http://www.espn.com/nfl/boxscore/_/gameId/401326478" xr:uid="{C9084BC6-B40C-6145-A441-FBC3656BC737}"/>
    <hyperlink ref="M19" r:id="rId250" display="http://www.espn.com/nfl/boxscore/_/gameId/401326505" xr:uid="{BC578879-548B-1248-8339-31C47ED4D39B}"/>
    <hyperlink ref="N19" r:id="rId251" display="http://www.espn.com/nfl/boxscore/_/gameId/401326519" xr:uid="{D81F150F-0069-954C-BD1E-9CD9EBF90940}"/>
    <hyperlink ref="O19" r:id="rId252" display="http://www.espn.com/nfl/boxscore/_/gameId/401326536" xr:uid="{5D5F425B-A02A-F947-A172-2BAD61347143}"/>
    <hyperlink ref="A20" r:id="rId253" display="http://www.espn.com/nfl/team/_/name/lac/los-angeles-chargers" xr:uid="{EB9B041F-DAFB-7240-AF13-4A6A92A85B73}"/>
    <hyperlink ref="B20" r:id="rId254" display="http://www.espn.com/nfl/boxscore/_/gameId/401326312" xr:uid="{A5B6FA7C-6ADA-0643-A328-8AA77A4F0649}"/>
    <hyperlink ref="C20" r:id="rId255" display="http://www.espn.com/nfl/boxscore/_/gameId/401326359" xr:uid="{62AA32AE-D364-9949-AE2E-74DA29F67348}"/>
    <hyperlink ref="D20" r:id="rId256" display="http://www.espn.com/nfl/boxscore/_/gameId/401326368" xr:uid="{C02FEC0D-6ACC-184F-9A22-3378E6FECD82}"/>
    <hyperlink ref="E20" r:id="rId257" display="http://www.espn.com/nfl/boxscore/_/gameId/401326394" xr:uid="{EF661DF0-E484-9840-BBA5-CEF7B73ADFA2}"/>
    <hyperlink ref="F20" r:id="rId258" display="http://www.espn.com/nfl/boxscore/_/gameId/401326404" xr:uid="{E4563FF4-D340-DA4B-A8D1-C6FAB7660674}"/>
    <hyperlink ref="G20" r:id="rId259" display="http://www.espn.com/nfl/boxscore/_/gameId/401326411" xr:uid="{9AB5266E-0A26-8349-A4F6-CDE10218D874}"/>
    <hyperlink ref="I20" r:id="rId260" display="http://www.espn.com/nfl/boxscore/_/gameId/401326445" xr:uid="{FBE1895D-812E-6941-BE1F-290773116800}"/>
    <hyperlink ref="J20" r:id="rId261" display="http://www.espn.com/nfl/boxscore/_/gameId/401326460" xr:uid="{2469BC80-FEC6-2841-A606-53CA179E419F}"/>
    <hyperlink ref="K20" r:id="rId262" display="http://www.espn.com/nfl/boxscore/_/gameId/401326474" xr:uid="{9A77C75A-C560-A546-BFC4-DB2DDEFCEF4D}"/>
    <hyperlink ref="L20" r:id="rId263" display="http://www.espn.com/nfl/boxscore/_/gameId/401326492" xr:uid="{C1A3890D-32E0-AB4E-A161-37DC40E20BA0}"/>
    <hyperlink ref="M20" r:id="rId264" display="http://www.espn.com/nfl/boxscore/_/gameId/401326504" xr:uid="{93721B60-51D6-A747-AC12-C1D8D2815174}"/>
    <hyperlink ref="N20" r:id="rId265" display="http://www.espn.com/nfl/boxscore/_/gameId/401326512" xr:uid="{E508F78C-06EA-E541-B11F-024000CFA0E7}"/>
    <hyperlink ref="O20" r:id="rId266" display="http://www.espn.com/nfl/boxscore/_/gameId/401326533" xr:uid="{3CEE63ED-42FE-4044-8A81-0734DE5E1B65}"/>
    <hyperlink ref="A21" r:id="rId267" display="http://www.espn.com/nfl/team/_/name/mia/miami-dolphins" xr:uid="{E1F085F9-970C-E144-BACD-11775A3A9593}"/>
    <hyperlink ref="B21" r:id="rId268" display="http://www.espn.com/nfl/boxscore/_/gameId/401326313" xr:uid="{921F86D4-010F-EE4B-89F7-D2741F4CBC89}"/>
    <hyperlink ref="C21" r:id="rId269" display="http://www.espn.com/nfl/boxscore/_/gameId/401326353" xr:uid="{7E831517-EF46-7543-8D0B-FF701DF4B063}"/>
    <hyperlink ref="D21" r:id="rId270" display="http://www.espn.com/nfl/boxscore/_/gameId/401326374" xr:uid="{B301040A-5D16-2D4B-86C2-3F2E903486D9}"/>
    <hyperlink ref="E21" r:id="rId271" display="http://www.espn.com/nfl/boxscore/_/gameId/401326384" xr:uid="{80CA9B0B-989B-4B45-86EA-095760963E3C}"/>
    <hyperlink ref="F21" r:id="rId272" display="http://www.espn.com/nfl/boxscore/_/gameId/401326402" xr:uid="{F217A536-58E6-8D47-947C-35A3B76A32EA}"/>
    <hyperlink ref="G21" r:id="rId273" display="http://www.espn.com/nfl/boxscore/_/gameId/401326325" xr:uid="{868F0140-5958-2B45-9027-CB0CF27CD565}"/>
    <hyperlink ref="H21" r:id="rId274" display="http://www.espn.com/nfl/boxscore/_/gameId/401326426" xr:uid="{26C941AB-AC3B-8B4A-9032-47747B8E1C96}"/>
    <hyperlink ref="I21" r:id="rId275" display="http://www.espn.com/nfl/boxscore/_/gameId/401326438" xr:uid="{8D950A45-962E-FB4F-903A-D061E3BB6453}"/>
    <hyperlink ref="J21" r:id="rId276" display="http://www.espn.com/nfl/boxscore/_/gameId/401326457" xr:uid="{441731AC-0452-EE4D-822D-5D4F73C385FC}"/>
    <hyperlink ref="K21" r:id="rId277" display="http://www.espn.com/nfl/boxscore/_/gameId/401326465" xr:uid="{06D30FF6-771D-3B4D-B984-73ED5B5C0535}"/>
    <hyperlink ref="L21" r:id="rId278" display="http://www.espn.com/nfl/boxscore/_/gameId/401326486" xr:uid="{ED41F8BD-FD34-484E-9A5E-3003295B3995}"/>
    <hyperlink ref="M21" r:id="rId279" display="http://www.espn.com/nfl/boxscore/_/gameId/401326501" xr:uid="{AD5D17C0-4391-EF4F-8A02-88D66D1C1A24}"/>
    <hyperlink ref="N21" r:id="rId280" display="http://www.espn.com/nfl/boxscore/_/gameId/401326516" xr:uid="{4827DB9A-9F9D-1841-99D0-84F1D0967E91}"/>
    <hyperlink ref="A22" r:id="rId281" display="http://www.espn.com/nfl/team/_/name/min/minnesota-vikings" xr:uid="{FAC736EC-A378-8E4B-9EC4-D59176882958}"/>
    <hyperlink ref="B22" r:id="rId282" display="http://www.espn.com/nfl/boxscore/_/gameId/401326316" xr:uid="{7BF8BB6B-2923-3E43-BA0C-48FD56C5F348}"/>
    <hyperlink ref="C22" r:id="rId283" display="http://www.espn.com/nfl/boxscore/_/gameId/401326357" xr:uid="{5C044522-5233-114D-83D2-14073ACCD2C0}"/>
    <hyperlink ref="D22" r:id="rId284" display="http://www.espn.com/nfl/boxscore/_/gameId/401326376" xr:uid="{1D99CCBE-61C9-A245-B966-B5641C07F740}"/>
    <hyperlink ref="E22" r:id="rId285" display="http://www.espn.com/nfl/boxscore/_/gameId/401326385" xr:uid="{FF5821D8-2FFF-9F4F-B8CF-76B783A4C263}"/>
    <hyperlink ref="F22" r:id="rId286" display="http://www.espn.com/nfl/boxscore/_/gameId/401326400" xr:uid="{02C23872-8773-F246-938F-3F515FBA44EA}"/>
    <hyperlink ref="G22" r:id="rId287" display="http://www.espn.com/nfl/boxscore/_/gameId/401326412" xr:uid="{DB54C16A-2793-3F4D-A6B5-567CD7B4D038}"/>
    <hyperlink ref="I22" r:id="rId288" display="http://www.espn.com/nfl/boxscore/_/gameId/401326449" xr:uid="{644984C6-6B4A-DF42-B50B-029A88BD0D03}"/>
    <hyperlink ref="J22" r:id="rId289" display="http://www.espn.com/nfl/boxscore/_/gameId/401326452" xr:uid="{BB2C836C-9A40-3F45-9A85-32CD35D5DD90}"/>
    <hyperlink ref="K22" r:id="rId290" display="http://www.espn.com/nfl/boxscore/_/gameId/401326474" xr:uid="{74ED3295-FD3B-E84E-83B5-2F8BD821AF06}"/>
    <hyperlink ref="L22" r:id="rId291" display="http://www.espn.com/nfl/boxscore/_/gameId/401326485" xr:uid="{25956891-0075-1849-89EA-C0DD8400F28E}"/>
    <hyperlink ref="M22" r:id="rId292" display="http://www.espn.com/nfl/boxscore/_/gameId/401326506" xr:uid="{7C060F7A-33CA-C94A-AE6E-BDD464708C92}"/>
    <hyperlink ref="N22" r:id="rId293" display="http://www.espn.com/nfl/boxscore/_/gameId/401326513" xr:uid="{D466848F-EB0E-F042-8414-78753367DA4C}"/>
    <hyperlink ref="O22" r:id="rId294" display="http://www.espn.com/nfl/boxscore/_/gameId/401326523" xr:uid="{9E7816CD-6FAF-4C4C-A031-CD5E78ACD86F}"/>
    <hyperlink ref="A23" r:id="rId295" display="http://www.espn.com/nfl/team/_/name/ne/new-england-patriots" xr:uid="{635189E4-EF49-5445-BA52-5C0A975BEBA8}"/>
    <hyperlink ref="B23" r:id="rId296" display="http://www.espn.com/nfl/boxscore/_/gameId/401326313" xr:uid="{F536EA65-5BA4-444F-BA7F-5223E5785FD4}"/>
    <hyperlink ref="C23" r:id="rId297" display="http://www.espn.com/nfl/boxscore/_/gameId/401326354" xr:uid="{282AE327-3AA2-374F-9967-2FFE5BDA343C}"/>
    <hyperlink ref="D23" r:id="rId298" display="http://www.espn.com/nfl/boxscore/_/gameId/401326369" xr:uid="{2CBE9F33-402D-DD4F-A600-07CD6BD43528}"/>
    <hyperlink ref="E23" r:id="rId299" display="http://www.espn.com/nfl/boxscore/_/gameId/401326393" xr:uid="{3A8048F3-02ED-8D43-AFC0-4FD4FB7C4341}"/>
    <hyperlink ref="F23" r:id="rId300" display="http://www.espn.com/nfl/boxscore/_/gameId/401326398" xr:uid="{B8590699-B6FE-4F40-A9F3-7C2509A340A0}"/>
    <hyperlink ref="G23" r:id="rId301" display="http://www.espn.com/nfl/boxscore/_/gameId/401326420" xr:uid="{26186FDE-E9D4-7E41-8C6E-02585A17A3ED}"/>
    <hyperlink ref="H23" r:id="rId302" display="http://www.espn.com/nfl/boxscore/_/gameId/401326427" xr:uid="{A6ADC070-0E79-5D42-8224-C1C6999E4BE9}"/>
    <hyperlink ref="I23" r:id="rId303" display="http://www.espn.com/nfl/boxscore/_/gameId/401326445" xr:uid="{4B81921B-466C-5943-B40D-D88C30BB46A6}"/>
    <hyperlink ref="J23" r:id="rId304" display="http://www.espn.com/nfl/boxscore/_/gameId/401326453" xr:uid="{CE1F31ED-E506-BA48-97C3-0E0D5E91B153}"/>
    <hyperlink ref="K23" r:id="rId305" display="http://www.espn.com/nfl/boxscore/_/gameId/401326468" xr:uid="{C447296C-B330-FE4F-A973-FABFD8481F0B}"/>
    <hyperlink ref="L23" r:id="rId306" display="http://www.espn.com/nfl/boxscore/_/gameId/401326479" xr:uid="{AD2EC5A8-AED2-6444-AA27-F9AFDA4D3B60}"/>
    <hyperlink ref="M23" r:id="rId307" display="http://www.espn.com/nfl/boxscore/_/gameId/401326502" xr:uid="{B06DF87B-6F91-9C44-841D-BFDA5023BCEF}"/>
    <hyperlink ref="N23" r:id="rId308" display="http://www.espn.com/nfl/boxscore/_/gameId/401326522" xr:uid="{46D93964-AD2A-DE49-A11D-ECEBAF63066A}"/>
    <hyperlink ref="A24" r:id="rId309" display="http://www.espn.com/nfl/team/_/name/no/new-orleans-saints" xr:uid="{5AC19E89-3E93-5E4A-A056-EA701044613E}"/>
    <hyperlink ref="B24" r:id="rId310" display="http://www.espn.com/nfl/boxscore/_/gameId/401326319" xr:uid="{50024F38-CEDE-A54E-9864-0406495CEA06}"/>
    <hyperlink ref="C24" r:id="rId311" display="http://www.espn.com/nfl/boxscore/_/gameId/401326128" xr:uid="{30E2B3B4-EA14-2B46-8A66-11C971EAE2A3}"/>
    <hyperlink ref="D24" r:id="rId312" display="http://www.espn.com/nfl/boxscore/_/gameId/401326369" xr:uid="{AD39B94F-521A-2642-BDAE-217235C88CF1}"/>
    <hyperlink ref="E24" r:id="rId313" display="http://www.espn.com/nfl/boxscore/_/gameId/401326386" xr:uid="{C0C9EA5F-090B-F548-A807-FC5D618DE669}"/>
    <hyperlink ref="F24" r:id="rId314" display="http://www.espn.com/nfl/boxscore/_/gameId/401326403" xr:uid="{D22CE05C-62B9-9747-8C77-8A601E5CE9A6}"/>
    <hyperlink ref="H24" r:id="rId315" display="http://www.espn.com/nfl/boxscore/_/gameId/401326435" xr:uid="{FBBF890B-D538-B74A-95C8-15A614E04628}"/>
    <hyperlink ref="I24" r:id="rId316" display="http://www.espn.com/nfl/boxscore/_/gameId/401326448" xr:uid="{0EDD478B-6DA0-DA4B-A2D6-88A4F9E96752}"/>
    <hyperlink ref="J24" r:id="rId317" display="http://www.espn.com/nfl/boxscore/_/gameId/401326458" xr:uid="{0BDC2E7F-A0D6-1F45-9439-3A36BB8C6C01}"/>
    <hyperlink ref="K24" r:id="rId318" display="http://www.espn.com/nfl/boxscore/_/gameId/401326471" xr:uid="{F8E752AB-E71D-7043-A386-16B56879F804}"/>
    <hyperlink ref="L24" r:id="rId319" display="http://www.espn.com/nfl/boxscore/_/gameId/401326487" xr:uid="{757F481D-967D-E944-928D-0036A9023EC2}"/>
    <hyperlink ref="M24" r:id="rId320" display="http://www.espn.com/nfl/boxscore/_/gameId/401326496" xr:uid="{CFF9AB06-5317-D54E-BC3E-40139936EEBE}"/>
    <hyperlink ref="N24" r:id="rId321" display="http://www.espn.com/nfl/boxscore/_/gameId/401326509" xr:uid="{6B535257-018B-D248-BB71-AEEABD479852}"/>
    <hyperlink ref="O24" r:id="rId322" display="http://www.espn.com/nfl/boxscore/_/gameId/401326529" xr:uid="{A7AAF62B-4322-E24F-90DA-F2B63A6E0859}"/>
    <hyperlink ref="A25" r:id="rId323" display="http://www.espn.com/nfl/team/_/name/nyg/new-york-giants" xr:uid="{E1AA73F7-9594-0B4D-8DE9-476BF3F28AC5}"/>
    <hyperlink ref="B25" r:id="rId324" display="http://www.espn.com/nfl/boxscore/_/gameId/401326320" xr:uid="{0D642661-8DDF-FB4D-A339-E77298A32C30}"/>
    <hyperlink ref="C25" r:id="rId325" display="http://www.espn.com/nfl/boxscore/_/gameId/401326127" xr:uid="{E5D865FB-76A8-C64A-BE4E-C77339B7B382}"/>
    <hyperlink ref="D25" r:id="rId326" display="http://www.espn.com/nfl/boxscore/_/gameId/401326370" xr:uid="{C8F4D2D5-95B6-854D-8C6C-6A75B7E6CF46}"/>
    <hyperlink ref="E25" r:id="rId327" display="http://www.espn.com/nfl/boxscore/_/gameId/401326386" xr:uid="{7CA02129-2F8E-5943-8056-B6D1C895072C}"/>
    <hyperlink ref="F25" r:id="rId328" display="http://www.espn.com/nfl/boxscore/_/gameId/401326407" xr:uid="{C98B969D-62C9-0049-A3C0-62A3AB0256BA}"/>
    <hyperlink ref="G25" r:id="rId329" display="http://www.espn.com/nfl/boxscore/_/gameId/401326416" xr:uid="{52DA4730-7999-C244-A26B-FB202A7C9C5E}"/>
    <hyperlink ref="H25" r:id="rId330" display="http://www.espn.com/nfl/boxscore/_/gameId/401326428" xr:uid="{ADE3086B-837B-FA41-B68F-B3225304F599}"/>
    <hyperlink ref="I25" r:id="rId331" display="http://www.espn.com/nfl/boxscore/_/gameId/401326450" xr:uid="{4E16697F-A411-B148-A36A-7187F79002D0}"/>
    <hyperlink ref="J25" r:id="rId332" display="http://www.espn.com/nfl/boxscore/_/gameId/401326459" xr:uid="{B6DD177A-9166-7045-8E86-CB0379BC43A2}"/>
    <hyperlink ref="L25" r:id="rId333" display="http://www.espn.com/nfl/boxscore/_/gameId/401326493" xr:uid="{05E53DF1-95DE-BA4B-87F9-8CF8C03EDFCD}"/>
    <hyperlink ref="M25" r:id="rId334" display="http://www.espn.com/nfl/boxscore/_/gameId/401326503" xr:uid="{CBBE647E-8126-C149-AA3A-B4A50A971BDC}"/>
    <hyperlink ref="N25" r:id="rId335" display="http://www.espn.com/nfl/boxscore/_/gameId/401326516" xr:uid="{F0010EF6-A8A6-164B-837B-4B1900C282AA}"/>
    <hyperlink ref="O25" r:id="rId336" display="http://www.espn.com/nfl/boxscore/_/gameId/401326533" xr:uid="{0CEAAB1A-58B9-6447-9566-563E2D2C9746}"/>
    <hyperlink ref="A26" r:id="rId337" display="http://www.espn.com/nfl/team/_/name/nyj/new-york-jets" xr:uid="{19E050D9-D1A2-C048-901D-39DAA5165C35}"/>
    <hyperlink ref="B26" r:id="rId338" display="http://www.espn.com/nfl/boxscore/_/gameId/401326309" xr:uid="{D6FB4036-9BBF-EE41-8B40-B15B454E3E57}"/>
    <hyperlink ref="C26" r:id="rId339" display="http://www.espn.com/nfl/boxscore/_/gameId/401326354" xr:uid="{7B9A3825-C022-FC41-8D90-FE8B287BAF50}"/>
    <hyperlink ref="D26" r:id="rId340" display="http://www.espn.com/nfl/boxscore/_/gameId/401326373" xr:uid="{4092ECD0-74B9-D042-A92E-90A88B2D45AE}"/>
    <hyperlink ref="E26" r:id="rId341" display="http://www.espn.com/nfl/boxscore/_/gameId/401326387" xr:uid="{47FE5E74-580A-4941-8AD2-82A008CC03F7}"/>
    <hyperlink ref="F26" r:id="rId342" display="http://www.espn.com/nfl/boxscore/_/gameId/401326324" xr:uid="{2B34BC99-19F8-F340-9650-A88713110644}"/>
    <hyperlink ref="H26" r:id="rId343" display="http://www.espn.com/nfl/boxscore/_/gameId/401326427" xr:uid="{6A208F5D-B416-9646-A786-2A546993A8FA}"/>
    <hyperlink ref="I26" r:id="rId344" display="http://www.espn.com/nfl/boxscore/_/gameId/401326444" xr:uid="{67223EA9-6F99-DC44-A1EC-AFC64C48C6EF}"/>
    <hyperlink ref="J26" r:id="rId345" display="http://www.espn.com/nfl/boxscore/_/gameId/401326451" xr:uid="{B94F388D-F32C-864D-A4A7-08D19590FA4E}"/>
    <hyperlink ref="K26" r:id="rId346" display="http://www.espn.com/nfl/boxscore/_/gameId/401326469" xr:uid="{5E4E50E0-81AA-BC4C-B6CD-951A5248DC65}"/>
    <hyperlink ref="L26" r:id="rId347" display="http://www.espn.com/nfl/boxscore/_/gameId/401326486" xr:uid="{034F2E3C-4317-214B-A9D8-C3DFB42B0C4D}"/>
    <hyperlink ref="M26" r:id="rId348" display="http://www.espn.com/nfl/boxscore/_/gameId/401326498" xr:uid="{465C2BDB-9570-C247-9ED3-4437C92AD969}"/>
    <hyperlink ref="N26" r:id="rId349" display="http://www.espn.com/nfl/boxscore/_/gameId/401326517" xr:uid="{257A3492-BAC5-CD47-B1AA-8BEFBA35D653}"/>
    <hyperlink ref="O26" r:id="rId350" display="http://www.espn.com/nfl/boxscore/_/gameId/401326529" xr:uid="{2CC86E9D-0245-5845-8752-A8F5AF4CBAB8}"/>
    <hyperlink ref="A27" r:id="rId351" display="http://www.espn.com/nfl/team/_/name/phi/philadelphia-eagles" xr:uid="{111B6B35-BE15-9341-9799-9C10147186AB}"/>
    <hyperlink ref="B27" r:id="rId352" display="http://www.espn.com/nfl/boxscore/_/gameId/401326315" xr:uid="{30FCB89E-AF3B-5140-8DC7-19CA0B47F03F}"/>
    <hyperlink ref="C27" r:id="rId353" display="http://www.espn.com/nfl/boxscore/_/gameId/401326355" xr:uid="{D3F87026-6E0B-664C-8A71-CA2955B54952}"/>
    <hyperlink ref="D27" r:id="rId354" display="http://www.espn.com/nfl/boxscore/_/gameId/401326378" xr:uid="{0E8723E6-DA84-C04A-A8E8-CF59C040DD00}"/>
    <hyperlink ref="E27" r:id="rId355" display="http://www.espn.com/nfl/boxscore/_/gameId/401326388" xr:uid="{8E896650-E861-F442-91E6-C9B3A8345F95}"/>
    <hyperlink ref="F27" r:id="rId356" display="http://www.espn.com/nfl/boxscore/_/gameId/401326396" xr:uid="{54D8D524-6110-9344-91B4-F189C0AA73B1}"/>
    <hyperlink ref="G27" r:id="rId357" display="http://www.espn.com/nfl/boxscore/_/gameId/401326410" xr:uid="{2C15DEB4-69F8-2345-989F-3AB938B45743}"/>
    <hyperlink ref="H27" r:id="rId358" display="http://www.espn.com/nfl/boxscore/_/gameId/401326431" xr:uid="{C08DE8B2-1979-2949-8792-5CA01F7583B4}"/>
    <hyperlink ref="I27" r:id="rId359" display="http://www.espn.com/nfl/boxscore/_/gameId/401326441" xr:uid="{C26751BB-BE0C-BD4B-9439-2936612F75F4}"/>
    <hyperlink ref="J27" r:id="rId360" display="http://www.espn.com/nfl/boxscore/_/gameId/401326460" xr:uid="{59B65419-C823-A245-B3ED-FF3F25D2B179}"/>
    <hyperlink ref="K27" r:id="rId361" display="http://www.espn.com/nfl/boxscore/_/gameId/401326475" xr:uid="{427855D1-7CFB-C84A-929F-5E8343F409BF}"/>
    <hyperlink ref="L27" r:id="rId362" display="http://www.espn.com/nfl/boxscore/_/gameId/401326487" xr:uid="{223862C6-653F-C146-BCE5-1C1BAC713E2D}"/>
    <hyperlink ref="M27" r:id="rId363" display="http://www.espn.com/nfl/boxscore/_/gameId/401326503" xr:uid="{732EBF5E-176E-8B41-88B6-A583978292B8}"/>
    <hyperlink ref="N27" r:id="rId364" display="http://www.espn.com/nfl/boxscore/_/gameId/401326517" xr:uid="{B979A7CB-05A4-6344-8DB9-8AC5503F9735}"/>
    <hyperlink ref="A28" r:id="rId365" display="http://www.espn.com/nfl/team/_/name/pit/pittsburgh-steelers" xr:uid="{1E220723-1C01-CF48-8291-861702AFB213}"/>
    <hyperlink ref="B28" r:id="rId366" display="http://www.espn.com/nfl/boxscore/_/gameId/401326308" xr:uid="{D06A5747-3338-004B-8D42-6E993BAA13DC}"/>
    <hyperlink ref="C28" r:id="rId367" display="http://www.espn.com/nfl/boxscore/_/gameId/401326356" xr:uid="{AEF943F4-1E2E-F24A-80B9-C6E0AF9561E4}"/>
    <hyperlink ref="D28" r:id="rId368" display="http://www.espn.com/nfl/boxscore/_/gameId/401326371" xr:uid="{78FD5823-8A5D-1C45-AFAB-8359C1CB382C}"/>
    <hyperlink ref="E28" r:id="rId369" display="http://www.espn.com/nfl/boxscore/_/gameId/401326392" xr:uid="{4C232DB0-2D7B-4041-9A5F-FD2AE82BE097}"/>
    <hyperlink ref="F28" r:id="rId370" display="http://www.espn.com/nfl/boxscore/_/gameId/401326401" xr:uid="{E0B9EF74-923B-BD40-8D7E-1BA00EE486DB}"/>
    <hyperlink ref="G28" r:id="rId371" display="http://www.espn.com/nfl/boxscore/_/gameId/401326421" xr:uid="{1A1006DE-EA6C-2649-ADB8-AC4BC76E1CE3}"/>
    <hyperlink ref="I28" r:id="rId372" display="http://www.espn.com/nfl/boxscore/_/gameId/401326440" xr:uid="{5AB8CBBF-4A2B-894E-815C-83E320AFEFBB}"/>
    <hyperlink ref="J28" r:id="rId373" display="http://www.espn.com/nfl/boxscore/_/gameId/401326464" xr:uid="{926E6893-319A-3B4D-9810-BE8B095BCC95}"/>
    <hyperlink ref="K28" r:id="rId374" display="http://www.espn.com/nfl/boxscore/_/gameId/401326470" xr:uid="{53555B81-689F-E54B-9828-B37B877779AD}"/>
    <hyperlink ref="L28" r:id="rId375" display="http://www.espn.com/nfl/boxscore/_/gameId/401326492" xr:uid="{8D5202B9-FFCC-C344-A831-A5518FACF53E}"/>
    <hyperlink ref="M28" r:id="rId376" display="http://www.espn.com/nfl/boxscore/_/gameId/401326497" xr:uid="{B0C462CD-0326-4A4E-9C7C-289898E5E9A8}"/>
    <hyperlink ref="N28" r:id="rId377" display="http://www.espn.com/nfl/boxscore/_/gameId/401326520" xr:uid="{1478900D-8702-CB4A-852A-DD8AC7E74895}"/>
    <hyperlink ref="O28" r:id="rId378" display="http://www.espn.com/nfl/boxscore/_/gameId/401326523" xr:uid="{08014AA3-3DDE-9744-85B8-EA87085B4E5E}"/>
    <hyperlink ref="A29" r:id="rId379" display="http://www.espn.com/nfl/team/_/name/sf/san-francisco-49ers" xr:uid="{06C6769E-CF34-EA44-B0DC-370F83A22728}"/>
    <hyperlink ref="B29" r:id="rId380" display="http://www.espn.com/nfl/boxscore/_/gameId/401326317" xr:uid="{52184377-6A92-FC48-8230-3FEEA151B759}"/>
    <hyperlink ref="C29" r:id="rId381" display="http://www.espn.com/nfl/boxscore/_/gameId/401326355" xr:uid="{B2E4DB1F-C2E5-C542-9DD2-6CE1ED1C8162}"/>
    <hyperlink ref="D29" r:id="rId382" display="http://www.espn.com/nfl/boxscore/_/gameId/401326377" xr:uid="{829B663C-1A5F-1F4F-A619-32C99042D154}"/>
    <hyperlink ref="E29" r:id="rId383" display="http://www.espn.com/nfl/boxscore/_/gameId/401326390" xr:uid="{F8ACB609-DFC1-554A-9690-BDC508F5D1AF}"/>
    <hyperlink ref="F29" r:id="rId384" display="http://www.espn.com/nfl/boxscore/_/gameId/401326406" xr:uid="{13E0A5DC-EE51-CA4A-A797-8893F68DABAE}"/>
    <hyperlink ref="H29" r:id="rId385" display="http://www.espn.com/nfl/boxscore/_/gameId/401326434" xr:uid="{3B25C942-A777-ED4A-B27C-2F59D608437F}"/>
    <hyperlink ref="I29" r:id="rId386" display="http://www.espn.com/nfl/boxscore/_/gameId/401326439" xr:uid="{4D4194D3-4F90-A043-A23A-1548ED2C21A4}"/>
    <hyperlink ref="J29" r:id="rId387" display="http://www.espn.com/nfl/boxscore/_/gameId/401326462" xr:uid="{DC1E784F-23CE-8B4C-890B-76A52DEEE458}"/>
    <hyperlink ref="K29" r:id="rId388" display="http://www.espn.com/nfl/boxscore/_/gameId/401326478" xr:uid="{01FDA810-CCA3-9343-80E8-8EB9767CDFE8}"/>
    <hyperlink ref="L29" r:id="rId389" display="http://www.espn.com/nfl/boxscore/_/gameId/401326484" xr:uid="{DA49E032-C0A0-3747-8450-C04AE5504EBE}"/>
    <hyperlink ref="M29" r:id="rId390" display="http://www.espn.com/nfl/boxscore/_/gameId/401326506" xr:uid="{87027C4E-2EE9-2B4D-81D8-13429F6E2476}"/>
    <hyperlink ref="N29" r:id="rId391" display="http://www.espn.com/nfl/boxscore/_/gameId/401326521" xr:uid="{8E31A896-E4F6-B040-8ACE-C6F8FC824257}"/>
    <hyperlink ref="O29" r:id="rId392" display="http://www.espn.com/nfl/boxscore/_/gameId/401326525" xr:uid="{634B9785-4CE7-A441-8F8A-97DB909EBB05}"/>
    <hyperlink ref="A30" r:id="rId393" display="http://www.espn.com/nfl/team/_/name/sea/seattle-seahawks" xr:uid="{9166EA94-3156-6F4E-BD53-5136D73C82C5}"/>
    <hyperlink ref="B30" r:id="rId394" display="http://www.espn.com/nfl/boxscore/_/gameId/401326318" xr:uid="{33994FB3-210F-274D-AB0B-94038010BEEA}"/>
    <hyperlink ref="C30" r:id="rId395" display="http://www.espn.com/nfl/boxscore/_/gameId/401326360" xr:uid="{A407F133-DB84-D747-92CC-71189584BAB7}"/>
    <hyperlink ref="D30" r:id="rId396" display="http://www.espn.com/nfl/boxscore/_/gameId/401326376" xr:uid="{0D5376A3-5BC7-1D4A-8FC6-2B51F667CFE1}"/>
    <hyperlink ref="E30" r:id="rId397" display="http://www.espn.com/nfl/boxscore/_/gameId/401326390" xr:uid="{8807220C-1484-2D45-8ECA-88000079EB4B}"/>
    <hyperlink ref="F30" r:id="rId398" display="http://www.espn.com/nfl/boxscore/_/gameId/401326395" xr:uid="{CD22677A-509F-B94F-A33B-AF16D163EC65}"/>
    <hyperlink ref="G30" r:id="rId399" display="http://www.espn.com/nfl/boxscore/_/gameId/401326421" xr:uid="{63E38880-2D08-FE45-8885-51B43EA04290}"/>
    <hyperlink ref="H30" r:id="rId400" display="http://www.espn.com/nfl/boxscore/_/gameId/401326435" xr:uid="{4CF3F480-E2EF-7248-9225-61031BFB543F}"/>
    <hyperlink ref="I30" r:id="rId401" display="http://www.espn.com/nfl/boxscore/_/gameId/401326446" xr:uid="{922804B4-565F-CE42-8D2F-E5595311A911}"/>
    <hyperlink ref="K30" r:id="rId402" display="http://www.espn.com/nfl/boxscore/_/gameId/401326476" xr:uid="{37CFBAAC-4F53-6648-A907-864667310DAE}"/>
    <hyperlink ref="L30" r:id="rId403" display="http://www.espn.com/nfl/boxscore/_/gameId/401326491" xr:uid="{6EB5E5E3-BF48-3249-B90A-E6E54E83F71E}"/>
    <hyperlink ref="M30" r:id="rId404" display="http://www.espn.com/nfl/boxscore/_/gameId/401326508" xr:uid="{AEF9DFC4-105B-7F4F-8167-39E8B9030849}"/>
    <hyperlink ref="N30" r:id="rId405" display="http://www.espn.com/nfl/boxscore/_/gameId/401326521" xr:uid="{B571860A-6FA1-3442-B1C9-672F5DFE4128}"/>
    <hyperlink ref="O30" r:id="rId406" display="http://www.espn.com/nfl/boxscore/_/gameId/401326527" xr:uid="{20B10606-BB72-324D-8021-1F8204EFF9E5}"/>
    <hyperlink ref="A31" r:id="rId407" display="http://www.espn.com/nfl/team/_/name/tb/tampa-bay-buccaneers" xr:uid="{E86A9E01-9563-E24E-B62D-51C875F36C40}"/>
    <hyperlink ref="B31" r:id="rId408" display="http://www.espn.com/nfl/boxscore/_/gameId/401326322" xr:uid="{617BE6BF-6ACA-8449-AE5F-247F1FBA6EDF}"/>
    <hyperlink ref="C31" r:id="rId409" display="http://www.espn.com/nfl/boxscore/_/gameId/401326358" xr:uid="{D6208CD0-2845-A646-B1E2-F778F071423C}"/>
    <hyperlink ref="D31" r:id="rId410" display="http://www.espn.com/nfl/boxscore/_/gameId/401326375" xr:uid="{F074562F-1176-6147-965D-DC1B1C1E63FC}"/>
    <hyperlink ref="E31" r:id="rId411" display="http://www.espn.com/nfl/boxscore/_/gameId/401326393" xr:uid="{5453E9DE-488A-4340-898D-7B3EDD9CC4C1}"/>
    <hyperlink ref="F31" r:id="rId412" display="http://www.espn.com/nfl/boxscore/_/gameId/401326402" xr:uid="{89B54EC2-436C-3247-8E99-790A33B7DA12}"/>
    <hyperlink ref="G31" r:id="rId413" display="http://www.espn.com/nfl/boxscore/_/gameId/401326410" xr:uid="{5B640183-AE94-8541-B593-E41CC54626D5}"/>
    <hyperlink ref="H31" r:id="rId414" display="http://www.espn.com/nfl/boxscore/_/gameId/401326433" xr:uid="{E17A6996-BA2A-2D40-9F91-7F7FA8391E41}"/>
    <hyperlink ref="I31" r:id="rId415" display="http://www.espn.com/nfl/boxscore/_/gameId/401326448" xr:uid="{772D8A99-40E5-AA46-890A-D16B245CC394}"/>
    <hyperlink ref="K31" r:id="rId416" display="http://www.espn.com/nfl/boxscore/_/gameId/401326472" xr:uid="{23F9BD88-23E5-8C4C-B0C6-EB744FC58FC1}"/>
    <hyperlink ref="L31" r:id="rId417" display="http://www.espn.com/nfl/boxscore/_/gameId/401326493" xr:uid="{42D1BBFB-FAF4-A64F-8018-7BB6C3FBFCBC}"/>
    <hyperlink ref="M31" r:id="rId418" display="http://www.espn.com/nfl/boxscore/_/gameId/401326499" xr:uid="{E3B01E8F-5DCD-0048-801C-DA2066953330}"/>
    <hyperlink ref="N31" r:id="rId419" display="http://www.espn.com/nfl/boxscore/_/gameId/401326510" xr:uid="{C4F2A862-F4CC-5349-AE3E-B4DC646FD319}"/>
    <hyperlink ref="O31" r:id="rId420" display="http://www.espn.com/nfl/boxscore/_/gameId/401326534" xr:uid="{DD60F0C6-AB76-484C-8DCB-316691D659DA}"/>
    <hyperlink ref="A32" r:id="rId421" display="http://www.espn.com/nfl/team/_/name/ten/tennessee-titans" xr:uid="{FC75E5F6-3AD6-B040-A488-ECBF249423BC}"/>
    <hyperlink ref="B32" r:id="rId422" display="http://www.espn.com/nfl/boxscore/_/gameId/401326311" xr:uid="{CEFBC995-8001-3648-B3A3-D4B12C8AD6E3}"/>
    <hyperlink ref="C32" r:id="rId423" display="http://www.espn.com/nfl/boxscore/_/gameId/401326360" xr:uid="{440E711E-FBC5-904D-A12D-295A7AF1ADFE}"/>
    <hyperlink ref="D32" r:id="rId424" display="http://www.espn.com/nfl/boxscore/_/gameId/401326372" xr:uid="{15E76CD4-BC8D-4F4C-91B9-0FE22522194A}"/>
    <hyperlink ref="E32" r:id="rId425" display="http://www.espn.com/nfl/boxscore/_/gameId/401326387" xr:uid="{405E8868-E2F8-8E49-A5ED-2D2B9C2CC881}"/>
    <hyperlink ref="F32" r:id="rId426" display="http://www.espn.com/nfl/boxscore/_/gameId/401326399" xr:uid="{758B77B0-418A-7945-A20E-9B46E956DC9C}"/>
    <hyperlink ref="G32" r:id="rId427" display="http://www.espn.com/nfl/boxscore/_/gameId/401326422" xr:uid="{995D9194-90C8-D14B-B61B-1FB30D544341}"/>
    <hyperlink ref="H32" r:id="rId428" display="http://www.espn.com/nfl/boxscore/_/gameId/401326429" xr:uid="{6441D4BE-C701-F446-9AF3-03CD687A0E05}"/>
    <hyperlink ref="I32" r:id="rId429" display="http://www.espn.com/nfl/boxscore/_/gameId/401326443" xr:uid="{38E29981-99BF-1044-AA1F-B57A4FFF749A}"/>
    <hyperlink ref="J32" r:id="rId430" display="http://www.espn.com/nfl/boxscore/_/gameId/401326463" xr:uid="{A17F6928-283C-BF40-887E-0AFB17E023B1}"/>
    <hyperlink ref="K32" r:id="rId431" display="http://www.espn.com/nfl/boxscore/_/gameId/401326471" xr:uid="{99800631-D412-C540-B1A4-8BA157F24A64}"/>
    <hyperlink ref="L32" r:id="rId432" display="http://www.espn.com/nfl/boxscore/_/gameId/401326488" xr:uid="{179C2D38-A11E-0C43-AE1E-9B421F4FCD7D}"/>
    <hyperlink ref="M32" r:id="rId433" display="http://www.espn.com/nfl/boxscore/_/gameId/401326502" xr:uid="{F86B0B17-8659-3D4E-AE6A-EA5F49E3D59E}"/>
    <hyperlink ref="O32" r:id="rId434" display="http://www.espn.com/nfl/boxscore/_/gameId/401326530" xr:uid="{45280318-83CC-874A-9D16-575AA0197D87}"/>
    <hyperlink ref="A33" r:id="rId435" display="http://www.espn.com/nfl/team/_/name/wsh/washington-null" xr:uid="{4ABE4EF4-A7D8-954C-9B0C-478FC992D8E0}"/>
    <hyperlink ref="B33" r:id="rId436" display="http://www.espn.com/nfl/boxscore/_/gameId/401326312" xr:uid="{5925E948-1479-CD46-9A8E-3BF15DFCBA0B}"/>
    <hyperlink ref="C33" r:id="rId437" display="http://www.espn.com/nfl/boxscore/_/gameId/401326127" xr:uid="{197855AC-5391-B64B-88C0-3420EC88CA62}"/>
    <hyperlink ref="D33" r:id="rId438" display="http://www.espn.com/nfl/boxscore/_/gameId/401326364" xr:uid="{88F7B8B7-56C5-C442-97F5-67C55BA3A4CB}"/>
    <hyperlink ref="E33" r:id="rId439" display="http://www.espn.com/nfl/boxscore/_/gameId/401326380" xr:uid="{F5D9058A-14E3-BE44-944D-688DC976F70C}"/>
    <hyperlink ref="F33" r:id="rId440" display="http://www.espn.com/nfl/boxscore/_/gameId/401326403" xr:uid="{DF7C50D8-F70B-E941-B6BA-76E3D549CB16}"/>
    <hyperlink ref="G33" r:id="rId441" display="http://www.espn.com/nfl/boxscore/_/gameId/401326417" xr:uid="{776923BC-0D37-2047-BDA6-30D45AEE4015}"/>
    <hyperlink ref="H33" r:id="rId442" display="http://www.espn.com/nfl/boxscore/_/gameId/401326425" xr:uid="{3C3AF8FF-32FF-AC4B-8FA7-7CA6CF8E5AE9}"/>
    <hyperlink ref="I33" r:id="rId443" display="http://www.espn.com/nfl/boxscore/_/gameId/401326447" xr:uid="{D9A93080-AE09-A042-A823-58DBB41DEEC0}"/>
    <hyperlink ref="K33" r:id="rId444" display="http://www.espn.com/nfl/boxscore/_/gameId/401326472" xr:uid="{19F10453-673B-5C40-8D44-156E8530BDBE}"/>
    <hyperlink ref="L33" r:id="rId445" display="http://www.espn.com/nfl/boxscore/_/gameId/401326481" xr:uid="{3254DA65-853C-5142-B404-E76B0B69188A}"/>
    <hyperlink ref="M33" r:id="rId446" display="http://www.espn.com/nfl/boxscore/_/gameId/401326508" xr:uid="{FF218939-DF78-E144-ABBF-FDB30D74BADD}"/>
    <hyperlink ref="N33" r:id="rId447" display="http://www.espn.com/nfl/boxscore/_/gameId/401326518" xr:uid="{EF59A5EC-7B3C-9E4F-B5D6-37BE8101F48C}"/>
    <hyperlink ref="O33" r:id="rId448" display="http://www.espn.com/nfl/boxscore/_/gameId/401326531" xr:uid="{7758082F-A77B-FC43-88EF-5664D17586CA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07E5F-80CB-E040-80AD-671C4952D390}">
  <sheetPr codeName="Sheet11"/>
  <dimension ref="A1:P33"/>
  <sheetViews>
    <sheetView zoomScale="93" workbookViewId="0">
      <selection activeCell="F14" sqref="F14"/>
    </sheetView>
  </sheetViews>
  <sheetFormatPr baseColWidth="10" defaultRowHeight="16" x14ac:dyDescent="0.2"/>
  <cols>
    <col min="1" max="1" width="16.83203125" customWidth="1"/>
    <col min="2" max="2" width="16.83203125" bestFit="1" customWidth="1"/>
    <col min="3" max="9" width="14.83203125" customWidth="1"/>
    <col min="10" max="10" width="8.83203125" customWidth="1"/>
    <col min="11" max="12" width="16.83203125" style="5" customWidth="1"/>
    <col min="13" max="13" width="43.33203125" style="5" bestFit="1" customWidth="1"/>
    <col min="14" max="14" width="21" bestFit="1" customWidth="1"/>
    <col min="15" max="15" width="24.6640625" bestFit="1" customWidth="1"/>
    <col min="16" max="16" width="21" bestFit="1" customWidth="1"/>
  </cols>
  <sheetData>
    <row r="1" spans="1:15" s="12" customFormat="1" ht="19" x14ac:dyDescent="0.25">
      <c r="A1" s="15" t="s">
        <v>77</v>
      </c>
      <c r="B1" s="21" t="s">
        <v>78</v>
      </c>
      <c r="C1" s="19" t="s">
        <v>112</v>
      </c>
      <c r="D1" s="15" t="s">
        <v>114</v>
      </c>
      <c r="E1" s="21" t="s">
        <v>115</v>
      </c>
      <c r="F1" s="19" t="s">
        <v>113</v>
      </c>
      <c r="G1" s="21" t="s">
        <v>116</v>
      </c>
      <c r="H1" s="19" t="s">
        <v>119</v>
      </c>
      <c r="I1" s="21" t="s">
        <v>118</v>
      </c>
      <c r="J1" s="19" t="s">
        <v>83</v>
      </c>
      <c r="K1" s="15" t="s">
        <v>117</v>
      </c>
      <c r="L1" s="15" t="s">
        <v>64</v>
      </c>
      <c r="M1" s="15" t="s">
        <v>120</v>
      </c>
      <c r="O1" s="12" t="s">
        <v>108</v>
      </c>
    </row>
    <row r="2" spans="1:15" x14ac:dyDescent="0.2">
      <c r="A2" s="16" t="s">
        <v>16</v>
      </c>
      <c r="B2" s="23"/>
      <c r="C2" s="20" t="s">
        <v>146</v>
      </c>
      <c r="D2" s="17" t="s">
        <v>146</v>
      </c>
      <c r="E2" s="22" t="s">
        <v>146</v>
      </c>
      <c r="F2" s="20" t="s">
        <v>146</v>
      </c>
      <c r="G2" s="22" t="s">
        <v>146</v>
      </c>
      <c r="H2" s="20" t="s">
        <v>146</v>
      </c>
      <c r="I2" s="22" t="s">
        <v>146</v>
      </c>
      <c r="J2" s="24"/>
      <c r="K2" s="18" t="s">
        <v>146</v>
      </c>
      <c r="L2" s="18" t="s">
        <v>146</v>
      </c>
      <c r="M2" s="16"/>
    </row>
    <row r="3" spans="1:15" x14ac:dyDescent="0.2">
      <c r="A3" s="16" t="s">
        <v>18</v>
      </c>
      <c r="B3" s="23" t="s">
        <v>47</v>
      </c>
      <c r="C3" s="20">
        <v>-0.83870967741935487</v>
      </c>
      <c r="D3" s="17">
        <v>-0.38709677419354838</v>
      </c>
      <c r="E3" s="22">
        <v>-0.41935483870967744</v>
      </c>
      <c r="F3" s="20">
        <v>0.12903225806451613</v>
      </c>
      <c r="G3" s="22">
        <v>3.2258064516129031E-2</v>
      </c>
      <c r="H3" s="20">
        <v>-0.12903225806451613</v>
      </c>
      <c r="I3" s="22">
        <v>0.12903225806451613</v>
      </c>
      <c r="J3" s="24" t="s">
        <v>80</v>
      </c>
      <c r="K3" s="18" t="s">
        <v>146</v>
      </c>
      <c r="L3" s="18" t="s">
        <v>146</v>
      </c>
      <c r="M3" s="16" t="s">
        <v>121</v>
      </c>
    </row>
    <row r="4" spans="1:15" x14ac:dyDescent="0.2">
      <c r="A4" s="16" t="s">
        <v>19</v>
      </c>
      <c r="B4" s="23" t="s">
        <v>46</v>
      </c>
      <c r="C4" s="20">
        <v>0.87096774193548387</v>
      </c>
      <c r="D4" s="17">
        <v>0.58064516129032262</v>
      </c>
      <c r="E4" s="22">
        <v>-0.83870967741935487</v>
      </c>
      <c r="F4" s="20">
        <v>-6.4516129032258063E-2</v>
      </c>
      <c r="G4" s="22">
        <v>0.22580645161290322</v>
      </c>
      <c r="H4" s="20">
        <v>0.19354838709677419</v>
      </c>
      <c r="I4" s="22">
        <v>3.2258064516129031E-2</v>
      </c>
      <c r="J4" s="24" t="s">
        <v>81</v>
      </c>
      <c r="K4" s="18" t="s">
        <v>147</v>
      </c>
      <c r="L4" s="18" t="s">
        <v>146</v>
      </c>
      <c r="M4" s="16" t="s">
        <v>122</v>
      </c>
    </row>
    <row r="5" spans="1:15" x14ac:dyDescent="0.2">
      <c r="A5" s="16" t="s">
        <v>21</v>
      </c>
      <c r="B5" s="23" t="s">
        <v>61</v>
      </c>
      <c r="C5" s="20">
        <v>0.22580645161290322</v>
      </c>
      <c r="D5" s="17">
        <v>-0.61290322580645162</v>
      </c>
      <c r="E5" s="22">
        <v>3.2258064516129031E-2</v>
      </c>
      <c r="F5" s="20">
        <v>0.54838709677419351</v>
      </c>
      <c r="G5" s="22">
        <v>0.22580645161290322</v>
      </c>
      <c r="H5" s="20">
        <v>0.45161290322580644</v>
      </c>
      <c r="I5" s="22">
        <v>0.74193548387096775</v>
      </c>
      <c r="J5" s="24" t="s">
        <v>82</v>
      </c>
      <c r="K5" s="18" t="s">
        <v>146</v>
      </c>
      <c r="L5" s="18" t="s">
        <v>147</v>
      </c>
      <c r="M5" s="16" t="s">
        <v>139</v>
      </c>
    </row>
    <row r="6" spans="1:15" x14ac:dyDescent="0.2">
      <c r="A6" s="16" t="s">
        <v>22</v>
      </c>
      <c r="B6" s="23" t="s">
        <v>51</v>
      </c>
      <c r="C6" s="20">
        <v>-0.41935483870967744</v>
      </c>
      <c r="D6" s="17">
        <v>9.6774193548387094E-2</v>
      </c>
      <c r="E6" s="22">
        <v>3.2258064516129031E-2</v>
      </c>
      <c r="F6" s="20">
        <v>0.61290322580645162</v>
      </c>
      <c r="G6" s="22">
        <v>0.29032258064516131</v>
      </c>
      <c r="H6" s="20">
        <v>-0.45161290322580644</v>
      </c>
      <c r="I6" s="22">
        <v>0.19354838709677419</v>
      </c>
      <c r="J6" s="24" t="s">
        <v>81</v>
      </c>
      <c r="K6" s="18" t="s">
        <v>146</v>
      </c>
      <c r="L6" s="18" t="s">
        <v>147</v>
      </c>
      <c r="M6" s="16" t="s">
        <v>123</v>
      </c>
      <c r="O6" t="s">
        <v>107</v>
      </c>
    </row>
    <row r="7" spans="1:15" x14ac:dyDescent="0.2">
      <c r="A7" s="16" t="s">
        <v>23</v>
      </c>
      <c r="B7" s="23" t="s">
        <v>27</v>
      </c>
      <c r="C7" s="20">
        <v>3.2258064516129031E-2</v>
      </c>
      <c r="D7" s="17">
        <v>-0.16129032258064516</v>
      </c>
      <c r="E7" s="22">
        <v>-0.32258064516129031</v>
      </c>
      <c r="F7" s="20">
        <v>0.967741935483871</v>
      </c>
      <c r="G7" s="22">
        <v>0.41935483870967744</v>
      </c>
      <c r="H7" s="20">
        <v>-0.64516129032258063</v>
      </c>
      <c r="I7" s="22">
        <v>0.12903225806451613</v>
      </c>
      <c r="J7" s="24" t="s">
        <v>84</v>
      </c>
      <c r="K7" s="18" t="s">
        <v>146</v>
      </c>
      <c r="L7" s="18" t="s">
        <v>147</v>
      </c>
      <c r="M7" s="16" t="s">
        <v>127</v>
      </c>
    </row>
    <row r="8" spans="1:15" x14ac:dyDescent="0.2">
      <c r="A8" s="16" t="s">
        <v>25</v>
      </c>
      <c r="B8" s="23" t="s">
        <v>38</v>
      </c>
      <c r="C8" s="20">
        <v>-0.16129032258064516</v>
      </c>
      <c r="D8" s="17">
        <v>0.38709677419354838</v>
      </c>
      <c r="E8" s="22">
        <v>0.16129032258064516</v>
      </c>
      <c r="F8" s="20">
        <v>-0.22580645161290322</v>
      </c>
      <c r="G8" s="22">
        <v>6.4516129032258063E-2</v>
      </c>
      <c r="H8" s="20">
        <v>0.61290322580645162</v>
      </c>
      <c r="I8" s="22">
        <v>-0.22580645161290322</v>
      </c>
      <c r="J8" s="24" t="s">
        <v>85</v>
      </c>
      <c r="K8" s="18" t="s">
        <v>146</v>
      </c>
      <c r="L8" s="18" t="s">
        <v>146</v>
      </c>
      <c r="M8" s="16" t="s">
        <v>125</v>
      </c>
    </row>
    <row r="9" spans="1:15" x14ac:dyDescent="0.2">
      <c r="A9" s="16" t="s">
        <v>27</v>
      </c>
      <c r="B9" s="23" t="s">
        <v>23</v>
      </c>
      <c r="C9" s="20">
        <v>0.38709677419354838</v>
      </c>
      <c r="D9" s="17">
        <v>6.4516129032258063E-2</v>
      </c>
      <c r="E9" s="22">
        <v>-0.4838709677419355</v>
      </c>
      <c r="F9" s="20">
        <v>-0.41935483870967744</v>
      </c>
      <c r="G9" s="22">
        <v>-3.2258064516129031E-2</v>
      </c>
      <c r="H9" s="20">
        <v>0.35483870967741937</v>
      </c>
      <c r="I9" s="22">
        <v>0.45161290322580644</v>
      </c>
      <c r="J9" s="24" t="s">
        <v>86</v>
      </c>
      <c r="K9" s="18" t="s">
        <v>146</v>
      </c>
      <c r="L9" s="18" t="s">
        <v>146</v>
      </c>
      <c r="M9" s="16"/>
    </row>
    <row r="10" spans="1:15" x14ac:dyDescent="0.2">
      <c r="A10" s="16" t="s">
        <v>29</v>
      </c>
      <c r="B10" s="23" t="s">
        <v>54</v>
      </c>
      <c r="C10" s="20">
        <v>0.35483870967741937</v>
      </c>
      <c r="D10" s="17">
        <v>3.2258064516129031E-2</v>
      </c>
      <c r="E10" s="22">
        <v>0.70967741935483875</v>
      </c>
      <c r="F10" s="20">
        <v>0.12903225806451613</v>
      </c>
      <c r="G10" s="22">
        <v>-0.38709677419354838</v>
      </c>
      <c r="H10" s="20">
        <v>0.35483870967741937</v>
      </c>
      <c r="I10" s="22">
        <v>0.35483870967741937</v>
      </c>
      <c r="J10" s="24" t="s">
        <v>86</v>
      </c>
      <c r="K10" s="18" t="s">
        <v>146</v>
      </c>
      <c r="L10" s="18" t="s">
        <v>146</v>
      </c>
      <c r="M10" s="16" t="s">
        <v>124</v>
      </c>
    </row>
    <row r="11" spans="1:15" x14ac:dyDescent="0.2">
      <c r="A11" s="16" t="s">
        <v>31</v>
      </c>
      <c r="B11" s="23" t="s">
        <v>40</v>
      </c>
      <c r="C11" s="20">
        <v>0.16129032258064516</v>
      </c>
      <c r="D11" s="17">
        <v>9.6774193548387094E-2</v>
      </c>
      <c r="E11" s="22">
        <v>0.67741935483870963</v>
      </c>
      <c r="F11" s="20">
        <v>0.22580645161290322</v>
      </c>
      <c r="G11" s="22">
        <v>9.6774193548387094E-2</v>
      </c>
      <c r="H11" s="20">
        <v>0.967741935483871</v>
      </c>
      <c r="I11" s="22">
        <v>-0.35483870967741937</v>
      </c>
      <c r="J11" s="24" t="s">
        <v>85</v>
      </c>
      <c r="K11" s="18" t="s">
        <v>146</v>
      </c>
      <c r="L11" s="18" t="s">
        <v>146</v>
      </c>
      <c r="M11" s="16" t="s">
        <v>126</v>
      </c>
    </row>
    <row r="12" spans="1:15" x14ac:dyDescent="0.2">
      <c r="A12" s="16" t="s">
        <v>33</v>
      </c>
      <c r="B12" s="23" t="s">
        <v>59</v>
      </c>
      <c r="C12" s="20">
        <v>0.22580645161290322</v>
      </c>
      <c r="D12" s="17">
        <v>0.12903225806451613</v>
      </c>
      <c r="E12" s="22">
        <v>-9.6774193548387094E-2</v>
      </c>
      <c r="F12" s="20">
        <v>0.35483870967741937</v>
      </c>
      <c r="G12" s="22">
        <v>0.45161290322580644</v>
      </c>
      <c r="H12" s="20">
        <v>-0.29032258064516131</v>
      </c>
      <c r="I12" s="22">
        <v>0.29032258064516131</v>
      </c>
      <c r="J12" s="24" t="s">
        <v>87</v>
      </c>
      <c r="K12" s="18" t="s">
        <v>146</v>
      </c>
      <c r="L12" s="18" t="s">
        <v>146</v>
      </c>
      <c r="M12" s="16"/>
    </row>
    <row r="13" spans="1:15" x14ac:dyDescent="0.2">
      <c r="A13" s="16" t="s">
        <v>35</v>
      </c>
      <c r="B13" s="23" t="s">
        <v>50</v>
      </c>
      <c r="C13" s="20">
        <v>0.22580645161290322</v>
      </c>
      <c r="D13" s="17">
        <v>9.6774193548387094E-2</v>
      </c>
      <c r="E13" s="22">
        <v>-0.64516129032258063</v>
      </c>
      <c r="F13" s="20">
        <v>9.6774193548387094E-2</v>
      </c>
      <c r="G13" s="22">
        <v>0.64516129032258063</v>
      </c>
      <c r="H13" s="20">
        <v>6.4516129032258063E-2</v>
      </c>
      <c r="I13" s="22">
        <v>-3.2258064516129031E-2</v>
      </c>
      <c r="J13" s="24" t="s">
        <v>81</v>
      </c>
      <c r="K13" s="18" t="s">
        <v>146</v>
      </c>
      <c r="L13" s="18" t="s">
        <v>146</v>
      </c>
      <c r="M13" s="16" t="s">
        <v>128</v>
      </c>
    </row>
    <row r="14" spans="1:15" x14ac:dyDescent="0.2">
      <c r="A14" s="16" t="s">
        <v>37</v>
      </c>
      <c r="B14" s="23" t="s">
        <v>44</v>
      </c>
      <c r="C14" s="20">
        <v>-3.2258064516129031E-2</v>
      </c>
      <c r="D14" s="17">
        <v>0.16129032258064516</v>
      </c>
      <c r="E14" s="22">
        <v>-0.16129032258064516</v>
      </c>
      <c r="F14" s="20">
        <v>-0.58064516129032262</v>
      </c>
      <c r="G14" s="22">
        <v>-6.4516129032258063E-2</v>
      </c>
      <c r="H14" s="20">
        <v>-0.54838709677419351</v>
      </c>
      <c r="I14" s="22">
        <v>0.29032258064516131</v>
      </c>
      <c r="J14" s="24" t="s">
        <v>84</v>
      </c>
      <c r="K14" s="18" t="s">
        <v>146</v>
      </c>
      <c r="L14" s="18" t="s">
        <v>148</v>
      </c>
      <c r="M14" s="16" t="s">
        <v>129</v>
      </c>
    </row>
    <row r="15" spans="1:15" x14ac:dyDescent="0.2">
      <c r="A15" s="16" t="s">
        <v>38</v>
      </c>
      <c r="B15" s="23" t="s">
        <v>25</v>
      </c>
      <c r="C15" s="20">
        <v>-0.22580645161290322</v>
      </c>
      <c r="D15" s="17">
        <v>0.32258064516129031</v>
      </c>
      <c r="E15" s="22">
        <v>0.64516129032258063</v>
      </c>
      <c r="F15" s="20">
        <v>-9.6774193548387094E-2</v>
      </c>
      <c r="G15" s="22">
        <v>-0.83870967741935487</v>
      </c>
      <c r="H15" s="20">
        <v>0.35483870967741937</v>
      </c>
      <c r="I15" s="22">
        <v>-0.32258064516129031</v>
      </c>
      <c r="J15" s="24" t="s">
        <v>88</v>
      </c>
      <c r="K15" s="18" t="s">
        <v>146</v>
      </c>
      <c r="L15" s="18" t="s">
        <v>146</v>
      </c>
      <c r="M15" s="16" t="s">
        <v>130</v>
      </c>
    </row>
    <row r="16" spans="1:15" x14ac:dyDescent="0.2">
      <c r="A16" s="16" t="s">
        <v>39</v>
      </c>
      <c r="B16" s="23"/>
      <c r="C16" s="20" t="s">
        <v>146</v>
      </c>
      <c r="D16" s="17" t="s">
        <v>146</v>
      </c>
      <c r="E16" s="22" t="s">
        <v>146</v>
      </c>
      <c r="F16" s="20" t="s">
        <v>146</v>
      </c>
      <c r="G16" s="22" t="s">
        <v>146</v>
      </c>
      <c r="H16" s="20" t="s">
        <v>146</v>
      </c>
      <c r="I16" s="22" t="s">
        <v>146</v>
      </c>
      <c r="J16" s="24"/>
      <c r="K16" s="18" t="s">
        <v>146</v>
      </c>
      <c r="L16" s="18" t="s">
        <v>146</v>
      </c>
      <c r="M16" s="16"/>
    </row>
    <row r="17" spans="1:16" x14ac:dyDescent="0.2">
      <c r="A17" s="16" t="s">
        <v>40</v>
      </c>
      <c r="B17" s="23" t="s">
        <v>31</v>
      </c>
      <c r="C17" s="20">
        <v>0.25806451612903225</v>
      </c>
      <c r="D17" s="17">
        <v>-0.16129032258064516</v>
      </c>
      <c r="E17" s="22">
        <v>-0.4838709677419355</v>
      </c>
      <c r="F17" s="20">
        <v>0.35483870967741937</v>
      </c>
      <c r="G17" s="22">
        <v>0.25806451612903225</v>
      </c>
      <c r="H17" s="20">
        <v>0.22580645161290322</v>
      </c>
      <c r="I17" s="22">
        <v>0.61290322580645162</v>
      </c>
      <c r="J17" s="24" t="s">
        <v>88</v>
      </c>
      <c r="K17" s="18" t="s">
        <v>146</v>
      </c>
      <c r="L17" s="18" t="s">
        <v>146</v>
      </c>
      <c r="M17" s="16" t="s">
        <v>134</v>
      </c>
    </row>
    <row r="18" spans="1:16" x14ac:dyDescent="0.2">
      <c r="A18" s="16" t="s">
        <v>42</v>
      </c>
      <c r="B18" s="23" t="s">
        <v>53</v>
      </c>
      <c r="C18" s="20">
        <v>0.25806451612903225</v>
      </c>
      <c r="D18" s="17">
        <v>0.22580645161290322</v>
      </c>
      <c r="E18" s="22">
        <v>0.54838709677419351</v>
      </c>
      <c r="F18" s="20">
        <v>0.12903225806451613</v>
      </c>
      <c r="G18" s="22">
        <v>-0.29032258064516131</v>
      </c>
      <c r="H18" s="20">
        <v>-0.70967741935483875</v>
      </c>
      <c r="I18" s="22">
        <v>0.35483870967741937</v>
      </c>
      <c r="J18" s="24" t="s">
        <v>89</v>
      </c>
      <c r="K18" s="18" t="s">
        <v>146</v>
      </c>
      <c r="L18" s="18" t="s">
        <v>146</v>
      </c>
      <c r="M18" s="16" t="s">
        <v>131</v>
      </c>
    </row>
    <row r="19" spans="1:16" x14ac:dyDescent="0.2">
      <c r="A19" s="16" t="s">
        <v>44</v>
      </c>
      <c r="B19" s="23" t="s">
        <v>37</v>
      </c>
      <c r="C19" s="20">
        <v>-0.19354838709677419</v>
      </c>
      <c r="D19" s="17">
        <v>-0.38709677419354838</v>
      </c>
      <c r="E19" s="22">
        <v>0.29032258064516131</v>
      </c>
      <c r="F19" s="20">
        <v>0.58064516129032262</v>
      </c>
      <c r="G19" s="22">
        <v>0.16129032258064516</v>
      </c>
      <c r="H19" s="20">
        <v>0.16129032258064516</v>
      </c>
      <c r="I19" s="22">
        <v>0.5161290322580645</v>
      </c>
      <c r="J19" s="24" t="s">
        <v>86</v>
      </c>
      <c r="K19" s="18" t="s">
        <v>146</v>
      </c>
      <c r="L19" s="18" t="s">
        <v>147</v>
      </c>
      <c r="M19" s="16" t="s">
        <v>132</v>
      </c>
      <c r="O19" t="s">
        <v>106</v>
      </c>
    </row>
    <row r="20" spans="1:16" x14ac:dyDescent="0.2">
      <c r="A20" s="16" t="s">
        <v>45</v>
      </c>
      <c r="B20" s="23"/>
      <c r="C20" s="20" t="s">
        <v>146</v>
      </c>
      <c r="D20" s="17" t="s">
        <v>146</v>
      </c>
      <c r="E20" s="22" t="s">
        <v>146</v>
      </c>
      <c r="F20" s="20" t="s">
        <v>146</v>
      </c>
      <c r="G20" s="22" t="s">
        <v>146</v>
      </c>
      <c r="H20" s="20" t="s">
        <v>146</v>
      </c>
      <c r="I20" s="22" t="s">
        <v>146</v>
      </c>
      <c r="J20" s="24"/>
      <c r="K20" s="18" t="s">
        <v>146</v>
      </c>
      <c r="L20" s="18" t="s">
        <v>146</v>
      </c>
      <c r="M20" s="16"/>
    </row>
    <row r="21" spans="1:16" x14ac:dyDescent="0.2">
      <c r="A21" s="16" t="s">
        <v>46</v>
      </c>
      <c r="B21" s="23" t="s">
        <v>19</v>
      </c>
      <c r="C21" s="20">
        <v>-0.58064516129032262</v>
      </c>
      <c r="D21" s="17">
        <v>0.32258064516129031</v>
      </c>
      <c r="E21" s="22">
        <v>0.70967741935483875</v>
      </c>
      <c r="F21" s="20">
        <v>6.4516129032258063E-2</v>
      </c>
      <c r="G21" s="22">
        <v>-0.4838709677419355</v>
      </c>
      <c r="H21" s="20">
        <v>-0.45161290322580644</v>
      </c>
      <c r="I21" s="22">
        <v>-0.22580645161290322</v>
      </c>
      <c r="J21" s="24" t="s">
        <v>90</v>
      </c>
      <c r="K21" s="18" t="s">
        <v>148</v>
      </c>
      <c r="L21" s="18" t="s">
        <v>146</v>
      </c>
      <c r="M21" s="16" t="s">
        <v>133</v>
      </c>
    </row>
    <row r="22" spans="1:16" x14ac:dyDescent="0.2">
      <c r="A22" s="16" t="s">
        <v>47</v>
      </c>
      <c r="B22" s="23" t="s">
        <v>18</v>
      </c>
      <c r="C22" s="20">
        <v>0.32258064516129031</v>
      </c>
      <c r="D22" s="17">
        <v>-9.6774193548387094E-2</v>
      </c>
      <c r="E22" s="22">
        <v>-0.38709677419354838</v>
      </c>
      <c r="F22" s="20">
        <v>-0.38709677419354838</v>
      </c>
      <c r="G22" s="22">
        <v>-6.4516129032258063E-2</v>
      </c>
      <c r="H22" s="20">
        <v>0.12903225806451613</v>
      </c>
      <c r="I22" s="22">
        <v>-0.5161290322580645</v>
      </c>
      <c r="J22" s="24" t="s">
        <v>91</v>
      </c>
      <c r="K22" s="18" t="s">
        <v>146</v>
      </c>
      <c r="L22" s="18" t="s">
        <v>146</v>
      </c>
      <c r="M22" s="16" t="s">
        <v>134</v>
      </c>
    </row>
    <row r="23" spans="1:16" x14ac:dyDescent="0.2">
      <c r="A23" s="16" t="s">
        <v>48</v>
      </c>
      <c r="B23" s="23" t="s">
        <v>62</v>
      </c>
      <c r="C23" s="20">
        <v>0.19354838709677419</v>
      </c>
      <c r="D23" s="17">
        <v>-3.2258064516129031E-2</v>
      </c>
      <c r="E23" s="22">
        <v>-9.6774193548387094E-2</v>
      </c>
      <c r="F23" s="20">
        <v>3.2258064516129031E-2</v>
      </c>
      <c r="G23" s="22">
        <v>0.35483870967741937</v>
      </c>
      <c r="H23" s="20">
        <v>-0.58064516129032262</v>
      </c>
      <c r="I23" s="22">
        <v>0.38709677419354838</v>
      </c>
      <c r="J23" s="24" t="s">
        <v>92</v>
      </c>
      <c r="K23" s="18" t="s">
        <v>146</v>
      </c>
      <c r="L23" s="18" t="s">
        <v>146</v>
      </c>
      <c r="M23" s="16" t="s">
        <v>135</v>
      </c>
    </row>
    <row r="24" spans="1:16" x14ac:dyDescent="0.2">
      <c r="A24" s="16" t="s">
        <v>50</v>
      </c>
      <c r="B24" s="23" t="s">
        <v>35</v>
      </c>
      <c r="C24" s="20">
        <v>-0.16129032258064516</v>
      </c>
      <c r="D24" s="17">
        <v>0.25806451612903225</v>
      </c>
      <c r="E24" s="22">
        <v>0.74193548387096775</v>
      </c>
      <c r="F24" s="20">
        <v>-0.41935483870967744</v>
      </c>
      <c r="G24" s="22">
        <v>-0.83870967741935487</v>
      </c>
      <c r="H24" s="20">
        <v>-0.19354838709677419</v>
      </c>
      <c r="I24" s="22">
        <v>-0.5161290322580645</v>
      </c>
      <c r="J24" s="24" t="s">
        <v>90</v>
      </c>
      <c r="K24" s="18" t="s">
        <v>146</v>
      </c>
      <c r="L24" s="18" t="s">
        <v>146</v>
      </c>
      <c r="M24" s="16" t="s">
        <v>136</v>
      </c>
    </row>
    <row r="25" spans="1:16" x14ac:dyDescent="0.2">
      <c r="A25" s="16" t="s">
        <v>51</v>
      </c>
      <c r="B25" s="23" t="s">
        <v>22</v>
      </c>
      <c r="C25" s="20">
        <v>-0.12903225806451613</v>
      </c>
      <c r="D25" s="17">
        <v>-0.64516129032258063</v>
      </c>
      <c r="E25" s="22">
        <v>0.25806451612903225</v>
      </c>
      <c r="F25" s="20">
        <v>-0.83870967741935487</v>
      </c>
      <c r="G25" s="22">
        <v>-0.5161290322580645</v>
      </c>
      <c r="H25" s="20">
        <v>-0.38709677419354838</v>
      </c>
      <c r="I25" s="22">
        <v>-0.38709677419354838</v>
      </c>
      <c r="J25" s="24" t="s">
        <v>90</v>
      </c>
      <c r="K25" s="18" t="s">
        <v>146</v>
      </c>
      <c r="L25" s="18" t="s">
        <v>148</v>
      </c>
      <c r="M25" s="16" t="s">
        <v>137</v>
      </c>
      <c r="O25" t="s">
        <v>105</v>
      </c>
    </row>
    <row r="26" spans="1:16" x14ac:dyDescent="0.2">
      <c r="A26" s="16" t="s">
        <v>53</v>
      </c>
      <c r="B26" s="23" t="s">
        <v>42</v>
      </c>
      <c r="C26" s="20">
        <v>0.61290322580645162</v>
      </c>
      <c r="D26" s="17">
        <v>0.70967741935483875</v>
      </c>
      <c r="E26" s="22">
        <v>6.4516129032258063E-2</v>
      </c>
      <c r="F26" s="20">
        <v>0.12903225806451613</v>
      </c>
      <c r="G26" s="22">
        <v>0.32258064516129031</v>
      </c>
      <c r="H26" s="20">
        <v>0.5161290322580645</v>
      </c>
      <c r="I26" s="22">
        <v>-3.2258064516129031E-2</v>
      </c>
      <c r="J26" s="24" t="s">
        <v>93</v>
      </c>
      <c r="K26" s="18" t="s">
        <v>146</v>
      </c>
      <c r="L26" s="18" t="s">
        <v>146</v>
      </c>
      <c r="M26" s="16" t="s">
        <v>138</v>
      </c>
    </row>
    <row r="27" spans="1:16" x14ac:dyDescent="0.2">
      <c r="A27" s="16" t="s">
        <v>54</v>
      </c>
      <c r="B27" s="23" t="s">
        <v>29</v>
      </c>
      <c r="C27" s="20">
        <v>0.22580645161290322</v>
      </c>
      <c r="D27" s="17">
        <v>0.38709677419354838</v>
      </c>
      <c r="E27" s="22">
        <v>-0.5161290322580645</v>
      </c>
      <c r="F27" s="20">
        <v>0.83870967741935487</v>
      </c>
      <c r="G27" s="22">
        <v>0.4838709677419355</v>
      </c>
      <c r="H27" s="20">
        <v>0</v>
      </c>
      <c r="I27" s="22">
        <v>0.32258064516129031</v>
      </c>
      <c r="J27" s="24" t="s">
        <v>84</v>
      </c>
      <c r="K27" s="18" t="s">
        <v>146</v>
      </c>
      <c r="L27" s="18" t="s">
        <v>147</v>
      </c>
      <c r="M27" s="16" t="s">
        <v>140</v>
      </c>
      <c r="O27" t="s">
        <v>109</v>
      </c>
    </row>
    <row r="28" spans="1:16" x14ac:dyDescent="0.2">
      <c r="A28" s="16" t="s">
        <v>55</v>
      </c>
      <c r="B28" s="23"/>
      <c r="C28" s="20" t="s">
        <v>146</v>
      </c>
      <c r="D28" s="17" t="s">
        <v>146</v>
      </c>
      <c r="E28" s="22" t="s">
        <v>146</v>
      </c>
      <c r="F28" s="20" t="s">
        <v>146</v>
      </c>
      <c r="G28" s="22" t="s">
        <v>146</v>
      </c>
      <c r="H28" s="20" t="s">
        <v>146</v>
      </c>
      <c r="I28" s="22" t="s">
        <v>146</v>
      </c>
      <c r="J28" s="24"/>
      <c r="K28" s="18" t="s">
        <v>146</v>
      </c>
      <c r="L28" s="18" t="s">
        <v>146</v>
      </c>
      <c r="M28" s="16"/>
    </row>
    <row r="29" spans="1:16" x14ac:dyDescent="0.2">
      <c r="A29" s="16" t="s">
        <v>56</v>
      </c>
      <c r="B29" s="23" t="s">
        <v>58</v>
      </c>
      <c r="C29" s="20">
        <v>0.54838709677419351</v>
      </c>
      <c r="D29" s="17">
        <v>0.12903225806451613</v>
      </c>
      <c r="E29" s="22">
        <v>-0.22580645161290322</v>
      </c>
      <c r="F29" s="20">
        <v>0</v>
      </c>
      <c r="G29" s="22">
        <v>-0.4838709677419355</v>
      </c>
      <c r="H29" s="20">
        <v>0.41935483870967744</v>
      </c>
      <c r="I29" s="22">
        <v>-0.32258064516129031</v>
      </c>
      <c r="J29" s="24" t="s">
        <v>94</v>
      </c>
      <c r="K29" s="18" t="s">
        <v>147</v>
      </c>
      <c r="L29" s="18" t="s">
        <v>146</v>
      </c>
      <c r="M29" s="16" t="s">
        <v>141</v>
      </c>
    </row>
    <row r="30" spans="1:16" x14ac:dyDescent="0.2">
      <c r="A30" s="16" t="s">
        <v>58</v>
      </c>
      <c r="B30" s="23" t="s">
        <v>56</v>
      </c>
      <c r="C30" s="20">
        <v>-3.2258064516129031E-2</v>
      </c>
      <c r="D30" s="17">
        <v>-0.22580645161290322</v>
      </c>
      <c r="E30" s="22">
        <v>0.64516129032258063</v>
      </c>
      <c r="F30" s="20">
        <v>-0.16129032258064516</v>
      </c>
      <c r="G30" s="22">
        <v>0</v>
      </c>
      <c r="H30" s="20">
        <v>-0.12903225806451613</v>
      </c>
      <c r="I30" s="22">
        <v>-0.16129032258064516</v>
      </c>
      <c r="J30" s="24" t="s">
        <v>95</v>
      </c>
      <c r="K30" s="18" t="s">
        <v>146</v>
      </c>
      <c r="L30" s="18" t="s">
        <v>146</v>
      </c>
      <c r="M30" s="16" t="s">
        <v>142</v>
      </c>
    </row>
    <row r="31" spans="1:16" x14ac:dyDescent="0.2">
      <c r="A31" s="16" t="s">
        <v>59</v>
      </c>
      <c r="B31" s="23" t="s">
        <v>33</v>
      </c>
      <c r="C31" s="20">
        <v>0.58064516129032262</v>
      </c>
      <c r="D31" s="17">
        <v>0.32258064516129031</v>
      </c>
      <c r="E31" s="22">
        <v>-0.87096774193548387</v>
      </c>
      <c r="F31" s="20">
        <v>-0.67741935483870963</v>
      </c>
      <c r="G31" s="22">
        <v>9.6774193548387094E-2</v>
      </c>
      <c r="H31" s="20">
        <v>0.58064516129032262</v>
      </c>
      <c r="I31" s="22">
        <v>-0.64516129032258063</v>
      </c>
      <c r="J31" s="24" t="s">
        <v>96</v>
      </c>
      <c r="K31" s="18" t="s">
        <v>147</v>
      </c>
      <c r="L31" s="18" t="s">
        <v>148</v>
      </c>
      <c r="M31" s="16" t="s">
        <v>143</v>
      </c>
      <c r="O31" t="s">
        <v>111</v>
      </c>
      <c r="P31" t="s">
        <v>110</v>
      </c>
    </row>
    <row r="32" spans="1:16" x14ac:dyDescent="0.2">
      <c r="A32" s="16" t="s">
        <v>61</v>
      </c>
      <c r="B32" s="23" t="s">
        <v>21</v>
      </c>
      <c r="C32" s="20">
        <v>-0.74193548387096775</v>
      </c>
      <c r="D32" s="17">
        <v>-0.67741935483870963</v>
      </c>
      <c r="E32" s="22">
        <v>3.2258064516129031E-2</v>
      </c>
      <c r="F32" s="20">
        <v>-9.6774193548387094E-2</v>
      </c>
      <c r="G32" s="22">
        <v>3.2258064516129031E-2</v>
      </c>
      <c r="H32" s="20">
        <v>-0.67741935483870963</v>
      </c>
      <c r="I32" s="22">
        <v>-3.2258064516129031E-2</v>
      </c>
      <c r="J32" s="24" t="s">
        <v>97</v>
      </c>
      <c r="K32" s="18" t="s">
        <v>146</v>
      </c>
      <c r="L32" s="18" t="s">
        <v>146</v>
      </c>
      <c r="M32" s="16" t="s">
        <v>144</v>
      </c>
    </row>
    <row r="33" spans="1:13" x14ac:dyDescent="0.2">
      <c r="A33" s="16" t="s">
        <v>62</v>
      </c>
      <c r="B33" s="23" t="s">
        <v>48</v>
      </c>
      <c r="C33" s="20">
        <v>-0.64516129032258063</v>
      </c>
      <c r="D33" s="17">
        <v>-6.4516129032258063E-2</v>
      </c>
      <c r="E33" s="22">
        <v>-0.19354838709677419</v>
      </c>
      <c r="F33" s="20">
        <v>0.22580645161290322</v>
      </c>
      <c r="G33" s="22">
        <v>-0.29032258064516131</v>
      </c>
      <c r="H33" s="20">
        <v>0</v>
      </c>
      <c r="I33" s="22">
        <v>-0.70967741935483875</v>
      </c>
      <c r="J33" s="24" t="s">
        <v>98</v>
      </c>
      <c r="K33" s="18" t="s">
        <v>148</v>
      </c>
      <c r="L33" s="18" t="s">
        <v>146</v>
      </c>
      <c r="M33" s="16" t="s">
        <v>145</v>
      </c>
    </row>
  </sheetData>
  <conditionalFormatting sqref="I2:I3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2:C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2146E-E904-DB46-B84D-5FA9C0172434}">
  <sheetPr codeName="Sheet12"/>
  <dimension ref="A1:U33"/>
  <sheetViews>
    <sheetView workbookViewId="0">
      <selection activeCell="H11" sqref="H11"/>
    </sheetView>
  </sheetViews>
  <sheetFormatPr baseColWidth="10" defaultRowHeight="16" x14ac:dyDescent="0.2"/>
  <cols>
    <col min="1" max="1" width="16.83203125" customWidth="1"/>
    <col min="2" max="2" width="5.6640625" bestFit="1" customWidth="1"/>
    <col min="3" max="3" width="16.83203125" bestFit="1" customWidth="1"/>
    <col min="4" max="11" width="14.83203125" customWidth="1"/>
    <col min="12" max="13" width="8.83203125" customWidth="1"/>
    <col min="14" max="15" width="16.83203125" style="5" customWidth="1"/>
    <col min="16" max="16" width="43.33203125" style="5" bestFit="1" customWidth="1"/>
    <col min="17" max="17" width="27.33203125" bestFit="1" customWidth="1"/>
    <col min="18" max="18" width="28.5" bestFit="1" customWidth="1"/>
    <col min="19" max="19" width="23.5" bestFit="1" customWidth="1"/>
    <col min="20" max="20" width="26.5" customWidth="1"/>
  </cols>
  <sheetData>
    <row r="1" spans="1:21" s="12" customFormat="1" ht="19" x14ac:dyDescent="0.25">
      <c r="A1" s="15" t="s">
        <v>77</v>
      </c>
      <c r="B1" s="25" t="s">
        <v>173</v>
      </c>
      <c r="C1" s="21" t="s">
        <v>78</v>
      </c>
      <c r="D1" s="19" t="s">
        <v>112</v>
      </c>
      <c r="E1" s="15" t="s">
        <v>114</v>
      </c>
      <c r="F1" s="21" t="s">
        <v>115</v>
      </c>
      <c r="G1" s="19" t="s">
        <v>113</v>
      </c>
      <c r="H1" s="21" t="s">
        <v>116</v>
      </c>
      <c r="I1" s="19" t="s">
        <v>119</v>
      </c>
      <c r="J1" s="21" t="s">
        <v>118</v>
      </c>
      <c r="K1" s="21" t="s">
        <v>172</v>
      </c>
      <c r="L1" s="19" t="s">
        <v>83</v>
      </c>
      <c r="M1" s="19" t="s">
        <v>185</v>
      </c>
      <c r="N1" s="15" t="s">
        <v>117</v>
      </c>
      <c r="O1" s="15" t="s">
        <v>64</v>
      </c>
      <c r="P1" s="15" t="s">
        <v>120</v>
      </c>
      <c r="Q1" s="31" t="s">
        <v>221</v>
      </c>
      <c r="R1" s="32" t="s">
        <v>222</v>
      </c>
    </row>
    <row r="2" spans="1:21" x14ac:dyDescent="0.2">
      <c r="A2" s="16" t="s">
        <v>16</v>
      </c>
      <c r="B2" s="26">
        <v>5</v>
      </c>
      <c r="C2" s="23" t="s">
        <v>33</v>
      </c>
      <c r="D2" s="20">
        <v>0.4838709677419355</v>
      </c>
      <c r="E2" s="17">
        <v>9.6774193548387094E-2</v>
      </c>
      <c r="F2" s="22">
        <v>-0.4838709677419355</v>
      </c>
      <c r="G2" s="20">
        <v>-9.6774193548387094E-2</v>
      </c>
      <c r="H2" s="22">
        <v>0.32258064516129031</v>
      </c>
      <c r="I2" s="20">
        <v>-3.2258064516129031E-2</v>
      </c>
      <c r="J2" s="22">
        <v>-0.16129032258064516</v>
      </c>
      <c r="K2" s="22">
        <v>60.75</v>
      </c>
      <c r="L2" s="24" t="s">
        <v>149</v>
      </c>
      <c r="M2" s="27"/>
      <c r="N2" s="18" t="s">
        <v>146</v>
      </c>
      <c r="O2" s="18" t="s">
        <v>146</v>
      </c>
      <c r="P2" s="16"/>
    </row>
    <row r="3" spans="1:21" x14ac:dyDescent="0.2">
      <c r="A3" s="16" t="s">
        <v>18</v>
      </c>
      <c r="B3" s="26">
        <v>6</v>
      </c>
      <c r="C3" s="23" t="s">
        <v>25</v>
      </c>
      <c r="D3" s="20">
        <v>-0.67741935483870963</v>
      </c>
      <c r="E3" s="17">
        <v>-6.4516129032258063E-2</v>
      </c>
      <c r="F3" s="22">
        <v>3.2258064516129031E-2</v>
      </c>
      <c r="G3" s="20">
        <v>-0.32258064516129031</v>
      </c>
      <c r="H3" s="22">
        <v>-0.22580645161290322</v>
      </c>
      <c r="I3" s="20">
        <v>-0.58064516129032262</v>
      </c>
      <c r="J3" s="22">
        <v>-0.12903225806451613</v>
      </c>
      <c r="K3" s="22">
        <v>60.666666666666664</v>
      </c>
      <c r="L3" s="24" t="s">
        <v>150</v>
      </c>
      <c r="M3" s="27"/>
      <c r="N3" s="18" t="s">
        <v>146</v>
      </c>
      <c r="O3" s="18" t="s">
        <v>146</v>
      </c>
      <c r="P3" s="16"/>
    </row>
    <row r="4" spans="1:21" x14ac:dyDescent="0.2">
      <c r="A4" s="16" t="s">
        <v>19</v>
      </c>
      <c r="B4" s="26">
        <v>6</v>
      </c>
      <c r="C4" s="23" t="s">
        <v>54</v>
      </c>
      <c r="D4" s="20">
        <v>0.54838709677419351</v>
      </c>
      <c r="E4" s="17">
        <v>0.16129032258064516</v>
      </c>
      <c r="F4" s="22">
        <v>-0.16129032258064516</v>
      </c>
      <c r="G4" s="20">
        <v>-0.35483870967741937</v>
      </c>
      <c r="H4" s="22">
        <v>-0.32258064516129031</v>
      </c>
      <c r="I4" s="20">
        <v>0.12903225806451613</v>
      </c>
      <c r="J4" s="22">
        <v>-0.38709677419354838</v>
      </c>
      <c r="K4" s="22">
        <v>60.083333333333336</v>
      </c>
      <c r="L4" s="24" t="s">
        <v>88</v>
      </c>
      <c r="M4" s="27"/>
      <c r="N4" s="18" t="s">
        <v>147</v>
      </c>
      <c r="O4" s="18" t="s">
        <v>146</v>
      </c>
      <c r="P4" s="16"/>
      <c r="Q4" s="28" t="s">
        <v>167</v>
      </c>
      <c r="U4" t="s">
        <v>168</v>
      </c>
    </row>
    <row r="5" spans="1:21" x14ac:dyDescent="0.2">
      <c r="A5" s="16" t="s">
        <v>21</v>
      </c>
      <c r="B5" s="26">
        <v>6</v>
      </c>
      <c r="C5" s="23"/>
      <c r="D5" s="20" t="s">
        <v>146</v>
      </c>
      <c r="E5" s="17" t="s">
        <v>146</v>
      </c>
      <c r="F5" s="22" t="s">
        <v>146</v>
      </c>
      <c r="G5" s="20" t="s">
        <v>146</v>
      </c>
      <c r="H5" s="22" t="s">
        <v>146</v>
      </c>
      <c r="I5" s="20" t="s">
        <v>146</v>
      </c>
      <c r="J5" s="22" t="s">
        <v>146</v>
      </c>
      <c r="K5" s="22" t="s">
        <v>146</v>
      </c>
      <c r="L5" s="24"/>
      <c r="M5" s="27"/>
      <c r="N5" s="18" t="s">
        <v>146</v>
      </c>
      <c r="O5" s="18" t="s">
        <v>146</v>
      </c>
      <c r="P5" s="16"/>
    </row>
    <row r="6" spans="1:21" x14ac:dyDescent="0.2">
      <c r="A6" s="16" t="s">
        <v>22</v>
      </c>
      <c r="B6" s="26">
        <v>6</v>
      </c>
      <c r="C6" s="23" t="s">
        <v>23</v>
      </c>
      <c r="D6" s="20">
        <v>-3.2258064516129031E-2</v>
      </c>
      <c r="E6" s="17">
        <v>-0.16129032258064516</v>
      </c>
      <c r="F6" s="22">
        <v>-0.19354838709677419</v>
      </c>
      <c r="G6" s="20">
        <v>-0.22580645161290322</v>
      </c>
      <c r="H6" s="22">
        <v>-0.29032258064516131</v>
      </c>
      <c r="I6" s="20">
        <v>0</v>
      </c>
      <c r="J6" s="22">
        <v>-0.61290322580645162</v>
      </c>
      <c r="K6" s="22">
        <v>61.833333333333329</v>
      </c>
      <c r="L6" s="24" t="s">
        <v>92</v>
      </c>
      <c r="M6" s="27"/>
      <c r="N6" s="18" t="s">
        <v>146</v>
      </c>
      <c r="O6" s="18" t="s">
        <v>146</v>
      </c>
      <c r="P6" s="16" t="s">
        <v>165</v>
      </c>
    </row>
    <row r="7" spans="1:21" x14ac:dyDescent="0.2">
      <c r="A7" s="16" t="s">
        <v>23</v>
      </c>
      <c r="B7" s="26">
        <v>6</v>
      </c>
      <c r="C7" s="23" t="s">
        <v>22</v>
      </c>
      <c r="D7" s="20">
        <v>0.32258064516129031</v>
      </c>
      <c r="E7" s="17">
        <v>-0.41935483870967744</v>
      </c>
      <c r="F7" s="22">
        <v>-0.74193548387096775</v>
      </c>
      <c r="G7" s="20">
        <v>9.6774193548387094E-2</v>
      </c>
      <c r="H7" s="22">
        <v>0.12903225806451613</v>
      </c>
      <c r="I7" s="20">
        <v>-0.67741935483870963</v>
      </c>
      <c r="J7" s="22">
        <v>0.22580645161290322</v>
      </c>
      <c r="K7" s="22">
        <v>61.833333333333336</v>
      </c>
      <c r="L7" s="24" t="s">
        <v>98</v>
      </c>
      <c r="M7" s="27"/>
      <c r="N7" s="18" t="s">
        <v>146</v>
      </c>
      <c r="O7" s="18" t="s">
        <v>146</v>
      </c>
      <c r="P7" s="16" t="s">
        <v>166</v>
      </c>
    </row>
    <row r="8" spans="1:21" x14ac:dyDescent="0.2">
      <c r="A8" s="16" t="s">
        <v>25</v>
      </c>
      <c r="B8" s="26">
        <v>6</v>
      </c>
      <c r="C8" s="23" t="s">
        <v>18</v>
      </c>
      <c r="D8" s="20">
        <v>0.45161290322580644</v>
      </c>
      <c r="E8" s="17">
        <v>0.19354838709677419</v>
      </c>
      <c r="F8" s="22">
        <v>3.2258064516129031E-2</v>
      </c>
      <c r="G8" s="20">
        <v>-0.41935483870967744</v>
      </c>
      <c r="H8" s="22">
        <v>-0.29032258064516131</v>
      </c>
      <c r="I8" s="20">
        <v>0.25806451612903225</v>
      </c>
      <c r="J8" s="22">
        <v>-0.16129032258064516</v>
      </c>
      <c r="K8" s="22">
        <v>60.666666666666664</v>
      </c>
      <c r="L8" s="24" t="s">
        <v>151</v>
      </c>
      <c r="M8" s="27"/>
      <c r="N8" s="18" t="s">
        <v>146</v>
      </c>
      <c r="O8" s="18" t="s">
        <v>146</v>
      </c>
      <c r="P8" s="16"/>
      <c r="Q8" s="30" t="s">
        <v>193</v>
      </c>
      <c r="U8" t="s">
        <v>177</v>
      </c>
    </row>
    <row r="9" spans="1:21" x14ac:dyDescent="0.2">
      <c r="A9" s="16" t="s">
        <v>27</v>
      </c>
      <c r="B9" s="26">
        <v>6</v>
      </c>
      <c r="C9" s="23" t="s">
        <v>59</v>
      </c>
      <c r="D9" s="20">
        <v>0.87096774193548387</v>
      </c>
      <c r="E9" s="17">
        <v>0.61290322580645162</v>
      </c>
      <c r="F9" s="22">
        <v>-0.64516129032258063</v>
      </c>
      <c r="G9" s="20">
        <v>0.38709677419354838</v>
      </c>
      <c r="H9" s="22">
        <v>0.64516129032258063</v>
      </c>
      <c r="I9" s="20">
        <v>3.2258064516129031E-2</v>
      </c>
      <c r="J9" s="22">
        <v>0.90322580645161288</v>
      </c>
      <c r="K9" s="22">
        <v>60.25</v>
      </c>
      <c r="L9" s="24" t="s">
        <v>152</v>
      </c>
      <c r="M9" s="27"/>
      <c r="N9" s="18" t="s">
        <v>146</v>
      </c>
      <c r="O9" s="18" t="s">
        <v>146</v>
      </c>
      <c r="P9" s="16"/>
      <c r="Q9" s="28" t="s">
        <v>169</v>
      </c>
      <c r="R9" s="28" t="s">
        <v>170</v>
      </c>
      <c r="U9" t="s">
        <v>171</v>
      </c>
    </row>
    <row r="10" spans="1:21" x14ac:dyDescent="0.2">
      <c r="A10" s="16" t="s">
        <v>29</v>
      </c>
      <c r="B10" s="26">
        <v>6</v>
      </c>
      <c r="C10" s="23"/>
      <c r="D10" s="20" t="s">
        <v>146</v>
      </c>
      <c r="E10" s="17" t="s">
        <v>146</v>
      </c>
      <c r="F10" s="22" t="s">
        <v>146</v>
      </c>
      <c r="G10" s="20" t="s">
        <v>146</v>
      </c>
      <c r="H10" s="22" t="s">
        <v>146</v>
      </c>
      <c r="I10" s="20" t="s">
        <v>146</v>
      </c>
      <c r="J10" s="22" t="s">
        <v>146</v>
      </c>
      <c r="K10" s="22" t="s">
        <v>146</v>
      </c>
      <c r="L10" s="24"/>
      <c r="M10" s="27"/>
      <c r="N10" s="18" t="s">
        <v>146</v>
      </c>
      <c r="O10" s="18" t="s">
        <v>146</v>
      </c>
      <c r="P10" s="16"/>
    </row>
    <row r="11" spans="1:21" x14ac:dyDescent="0.2">
      <c r="A11" s="16" t="s">
        <v>31</v>
      </c>
      <c r="B11" s="26">
        <v>6</v>
      </c>
      <c r="C11" s="23" t="s">
        <v>61</v>
      </c>
      <c r="D11" s="20">
        <v>0.54838709677419351</v>
      </c>
      <c r="E11" s="17">
        <v>0.19354838709677419</v>
      </c>
      <c r="F11" s="22">
        <v>0.54838709677419351</v>
      </c>
      <c r="G11" s="20">
        <v>0.41935483870967744</v>
      </c>
      <c r="H11" s="22">
        <v>-0.19354838709677419</v>
      </c>
      <c r="I11" s="20">
        <v>0.35483870967741937</v>
      </c>
      <c r="J11" s="22">
        <v>0.19354838709677419</v>
      </c>
      <c r="K11" s="22">
        <v>66.083333333333343</v>
      </c>
      <c r="L11" s="24" t="s">
        <v>91</v>
      </c>
      <c r="M11" s="27"/>
      <c r="N11" s="18" t="s">
        <v>146</v>
      </c>
      <c r="O11" s="18" t="s">
        <v>146</v>
      </c>
      <c r="P11" s="16"/>
      <c r="Q11" t="s">
        <v>178</v>
      </c>
      <c r="R11" s="29" t="s">
        <v>179</v>
      </c>
      <c r="S11" t="s">
        <v>180</v>
      </c>
      <c r="T11" t="s">
        <v>181</v>
      </c>
      <c r="U11" t="s">
        <v>182</v>
      </c>
    </row>
    <row r="12" spans="1:21" x14ac:dyDescent="0.2">
      <c r="A12" s="16" t="s">
        <v>33</v>
      </c>
      <c r="B12" s="26">
        <v>6</v>
      </c>
      <c r="C12" s="23" t="s">
        <v>16</v>
      </c>
      <c r="D12" s="20">
        <v>6.4516129032258063E-2</v>
      </c>
      <c r="E12" s="17">
        <v>-0.25806451612903225</v>
      </c>
      <c r="F12" s="22">
        <v>-0.41935483870967744</v>
      </c>
      <c r="G12" s="20">
        <v>0.25806451612903225</v>
      </c>
      <c r="H12" s="22">
        <v>9.6774193548387094E-2</v>
      </c>
      <c r="I12" s="20">
        <v>-0.29032258064516131</v>
      </c>
      <c r="J12" s="22">
        <v>0.32258064516129031</v>
      </c>
      <c r="K12" s="22">
        <v>60.75</v>
      </c>
      <c r="L12" s="24" t="s">
        <v>153</v>
      </c>
      <c r="M12" s="27"/>
      <c r="N12" s="18" t="s">
        <v>146</v>
      </c>
      <c r="O12" s="18" t="s">
        <v>146</v>
      </c>
      <c r="P12" s="16"/>
      <c r="Q12" s="29" t="s">
        <v>183</v>
      </c>
      <c r="U12" t="s">
        <v>184</v>
      </c>
    </row>
    <row r="13" spans="1:21" x14ac:dyDescent="0.2">
      <c r="A13" s="16" t="s">
        <v>35</v>
      </c>
      <c r="B13" s="26">
        <v>6</v>
      </c>
      <c r="C13" s="23"/>
      <c r="D13" s="20" t="s">
        <v>146</v>
      </c>
      <c r="E13" s="17" t="s">
        <v>146</v>
      </c>
      <c r="F13" s="22" t="s">
        <v>146</v>
      </c>
      <c r="G13" s="20" t="s">
        <v>146</v>
      </c>
      <c r="H13" s="22" t="s">
        <v>146</v>
      </c>
      <c r="I13" s="20" t="s">
        <v>146</v>
      </c>
      <c r="J13" s="22" t="s">
        <v>146</v>
      </c>
      <c r="K13" s="22" t="s">
        <v>146</v>
      </c>
      <c r="L13" s="24"/>
      <c r="M13" s="27"/>
      <c r="N13" s="18" t="s">
        <v>146</v>
      </c>
      <c r="O13" s="18" t="s">
        <v>146</v>
      </c>
      <c r="P13" s="16"/>
    </row>
    <row r="14" spans="1:21" x14ac:dyDescent="0.2">
      <c r="A14" s="16" t="s">
        <v>37</v>
      </c>
      <c r="B14" s="26">
        <v>6</v>
      </c>
      <c r="C14" s="23" t="s">
        <v>39</v>
      </c>
      <c r="D14" s="20">
        <v>-0.45161290322580644</v>
      </c>
      <c r="E14" s="17">
        <v>0.16129032258064516</v>
      </c>
      <c r="F14" s="22">
        <v>0.35483870967741937</v>
      </c>
      <c r="G14" s="20">
        <v>-0.25806451612903225</v>
      </c>
      <c r="H14" s="22">
        <v>-0.58064516129032262</v>
      </c>
      <c r="I14" s="20">
        <v>-0.35483870967741937</v>
      </c>
      <c r="J14" s="22">
        <v>-0.38709677419354838</v>
      </c>
      <c r="K14" s="22">
        <v>62.333333333333329</v>
      </c>
      <c r="L14" s="24" t="s">
        <v>154</v>
      </c>
      <c r="M14" s="27"/>
      <c r="N14" s="18" t="s">
        <v>146</v>
      </c>
      <c r="O14" s="18" t="s">
        <v>146</v>
      </c>
      <c r="P14" s="16"/>
      <c r="Q14" s="29" t="s">
        <v>186</v>
      </c>
      <c r="R14" t="s">
        <v>187</v>
      </c>
      <c r="U14" t="s">
        <v>188</v>
      </c>
    </row>
    <row r="15" spans="1:21" x14ac:dyDescent="0.2">
      <c r="A15" s="16" t="s">
        <v>38</v>
      </c>
      <c r="B15" s="26">
        <v>6</v>
      </c>
      <c r="C15" s="23" t="s">
        <v>51</v>
      </c>
      <c r="D15" s="20">
        <v>-0.67741935483870963</v>
      </c>
      <c r="E15" s="17">
        <v>-0.32258064516129031</v>
      </c>
      <c r="F15" s="22">
        <v>0.19354838709677419</v>
      </c>
      <c r="G15" s="20">
        <v>0.74193548387096775</v>
      </c>
      <c r="H15" s="22">
        <v>-0.25806451612903225</v>
      </c>
      <c r="I15" s="20">
        <v>-0.35483870967741937</v>
      </c>
      <c r="J15" s="22">
        <v>0.5161290322580645</v>
      </c>
      <c r="K15" s="22">
        <v>59.75</v>
      </c>
      <c r="L15" s="24" t="s">
        <v>155</v>
      </c>
      <c r="M15" s="27"/>
      <c r="N15" s="18" t="s">
        <v>148</v>
      </c>
      <c r="O15" s="18" t="s">
        <v>147</v>
      </c>
      <c r="P15" s="16"/>
      <c r="Q15" s="28" t="s">
        <v>191</v>
      </c>
      <c r="R15" t="s">
        <v>189</v>
      </c>
      <c r="S15" s="29" t="s">
        <v>190</v>
      </c>
      <c r="U15" t="s">
        <v>192</v>
      </c>
    </row>
    <row r="16" spans="1:21" x14ac:dyDescent="0.2">
      <c r="A16" s="16" t="s">
        <v>39</v>
      </c>
      <c r="B16" s="26">
        <v>5</v>
      </c>
      <c r="C16" s="23" t="s">
        <v>37</v>
      </c>
      <c r="D16" s="20">
        <v>-0.19354838709677419</v>
      </c>
      <c r="E16" s="17">
        <v>0.25806451612903225</v>
      </c>
      <c r="F16" s="22">
        <v>0.77419354838709675</v>
      </c>
      <c r="G16" s="20">
        <v>-0.22580645161290322</v>
      </c>
      <c r="H16" s="22">
        <v>9.6774193548387094E-2</v>
      </c>
      <c r="I16" s="20">
        <v>6.4516129032258063E-2</v>
      </c>
      <c r="J16" s="22">
        <v>-0.25806451612903225</v>
      </c>
      <c r="K16" s="22">
        <v>62.333333333333336</v>
      </c>
      <c r="L16" s="24" t="s">
        <v>156</v>
      </c>
      <c r="M16" s="27"/>
      <c r="N16" s="18" t="s">
        <v>146</v>
      </c>
      <c r="O16" s="18" t="s">
        <v>146</v>
      </c>
      <c r="P16" s="16"/>
      <c r="Q16" s="28" t="s">
        <v>194</v>
      </c>
      <c r="U16" t="s">
        <v>195</v>
      </c>
    </row>
    <row r="17" spans="1:21" x14ac:dyDescent="0.2">
      <c r="A17" s="16" t="s">
        <v>40</v>
      </c>
      <c r="B17" s="26">
        <v>6</v>
      </c>
      <c r="C17" s="23" t="s">
        <v>47</v>
      </c>
      <c r="D17" s="20">
        <v>-0.67741935483870963</v>
      </c>
      <c r="E17" s="17">
        <v>-0.22580645161290322</v>
      </c>
      <c r="F17" s="22">
        <v>-0.25806451612903225</v>
      </c>
      <c r="G17" s="20">
        <v>0.22580645161290322</v>
      </c>
      <c r="H17" s="22">
        <v>-0.25806451612903225</v>
      </c>
      <c r="I17" s="20">
        <v>-0.12903225806451613</v>
      </c>
      <c r="J17" s="22">
        <v>-0.29032258064516131</v>
      </c>
      <c r="K17" s="22">
        <v>59.000000000000007</v>
      </c>
      <c r="L17" s="24" t="s">
        <v>157</v>
      </c>
      <c r="M17" s="27"/>
      <c r="N17" s="18" t="s">
        <v>146</v>
      </c>
      <c r="O17" s="18" t="s">
        <v>146</v>
      </c>
      <c r="P17" s="16"/>
      <c r="Q17" t="s">
        <v>196</v>
      </c>
      <c r="R17" t="s">
        <v>197</v>
      </c>
      <c r="U17" t="s">
        <v>198</v>
      </c>
    </row>
    <row r="18" spans="1:21" x14ac:dyDescent="0.2">
      <c r="A18" s="16" t="s">
        <v>42</v>
      </c>
      <c r="B18" s="26">
        <v>6</v>
      </c>
      <c r="C18" s="23" t="s">
        <v>48</v>
      </c>
      <c r="D18" s="20">
        <v>-0.41935483870967744</v>
      </c>
      <c r="E18" s="17">
        <v>-0.64516129032258063</v>
      </c>
      <c r="F18" s="22">
        <v>-0.12903225806451613</v>
      </c>
      <c r="G18" s="20">
        <v>0.16129032258064516</v>
      </c>
      <c r="H18" s="22">
        <v>-0.54838709677419351</v>
      </c>
      <c r="I18" s="20">
        <v>-0.64516129032258063</v>
      </c>
      <c r="J18" s="22">
        <v>-9.6774193548387094E-2</v>
      </c>
      <c r="K18" s="22">
        <v>63.833333333333336</v>
      </c>
      <c r="L18" s="24" t="s">
        <v>155</v>
      </c>
      <c r="M18" s="27">
        <v>42.5</v>
      </c>
      <c r="N18" s="18" t="s">
        <v>146</v>
      </c>
      <c r="O18" s="18" t="s">
        <v>146</v>
      </c>
      <c r="P18" s="16"/>
      <c r="Q18" t="s">
        <v>199</v>
      </c>
      <c r="R18" s="29" t="s">
        <v>200</v>
      </c>
      <c r="U18" t="s">
        <v>201</v>
      </c>
    </row>
    <row r="19" spans="1:21" x14ac:dyDescent="0.2">
      <c r="A19" s="16" t="s">
        <v>44</v>
      </c>
      <c r="B19" s="26">
        <v>6</v>
      </c>
      <c r="C19" s="23"/>
      <c r="D19" s="20" t="s">
        <v>146</v>
      </c>
      <c r="E19" s="17" t="s">
        <v>146</v>
      </c>
      <c r="F19" s="22" t="s">
        <v>146</v>
      </c>
      <c r="G19" s="20" t="s">
        <v>146</v>
      </c>
      <c r="H19" s="22" t="s">
        <v>146</v>
      </c>
      <c r="I19" s="20" t="s">
        <v>146</v>
      </c>
      <c r="J19" s="22" t="s">
        <v>146</v>
      </c>
      <c r="K19" s="22" t="s">
        <v>146</v>
      </c>
      <c r="L19" s="24"/>
      <c r="M19" s="27"/>
      <c r="N19" s="18" t="s">
        <v>146</v>
      </c>
      <c r="O19" s="18" t="s">
        <v>146</v>
      </c>
      <c r="P19" s="16"/>
    </row>
    <row r="20" spans="1:21" x14ac:dyDescent="0.2">
      <c r="A20" s="16" t="s">
        <v>45</v>
      </c>
      <c r="B20" s="26">
        <v>5</v>
      </c>
      <c r="C20" s="23" t="s">
        <v>50</v>
      </c>
      <c r="D20" s="20">
        <v>-0.25806451612903225</v>
      </c>
      <c r="E20" s="17">
        <v>-0.80645161290322576</v>
      </c>
      <c r="F20" s="22">
        <v>-0.12903225806451613</v>
      </c>
      <c r="G20" s="20">
        <v>-0.80645161290322576</v>
      </c>
      <c r="H20" s="22">
        <v>-0.22580645161290322</v>
      </c>
      <c r="I20" s="20">
        <v>-0.70967741935483875</v>
      </c>
      <c r="J20" s="22">
        <v>-0.74193548387096775</v>
      </c>
      <c r="K20" s="22">
        <v>56.583333333333336</v>
      </c>
      <c r="L20" s="24" t="s">
        <v>158</v>
      </c>
      <c r="M20" s="27">
        <v>42.5</v>
      </c>
      <c r="N20" s="18" t="s">
        <v>146</v>
      </c>
      <c r="O20" s="18" t="s">
        <v>146</v>
      </c>
      <c r="P20" s="16"/>
      <c r="Q20" s="29" t="s">
        <v>202</v>
      </c>
      <c r="R20" s="29" t="s">
        <v>203</v>
      </c>
      <c r="U20" t="s">
        <v>204</v>
      </c>
    </row>
    <row r="21" spans="1:21" x14ac:dyDescent="0.2">
      <c r="A21" s="16" t="s">
        <v>46</v>
      </c>
      <c r="B21" s="26">
        <v>6</v>
      </c>
      <c r="C21" s="23" t="s">
        <v>53</v>
      </c>
      <c r="D21" s="20">
        <v>-0.70967741935483875</v>
      </c>
      <c r="E21" s="17">
        <v>0.22580645161290322</v>
      </c>
      <c r="F21" s="22">
        <v>0.80645161290322576</v>
      </c>
      <c r="G21" s="20">
        <v>0</v>
      </c>
      <c r="H21" s="22">
        <v>-0.4838709677419355</v>
      </c>
      <c r="I21" s="20">
        <v>-0.5161290322580645</v>
      </c>
      <c r="J21" s="22">
        <v>0.19354838709677419</v>
      </c>
      <c r="K21" s="22">
        <v>61.666666666666671</v>
      </c>
      <c r="L21" s="24" t="s">
        <v>159</v>
      </c>
      <c r="M21" s="27"/>
      <c r="N21" s="18" t="s">
        <v>146</v>
      </c>
      <c r="O21" s="18" t="s">
        <v>146</v>
      </c>
      <c r="P21" s="16"/>
      <c r="Q21" t="s">
        <v>205</v>
      </c>
      <c r="U21" t="s">
        <v>206</v>
      </c>
    </row>
    <row r="22" spans="1:21" x14ac:dyDescent="0.2">
      <c r="A22" s="16" t="s">
        <v>47</v>
      </c>
      <c r="B22" s="26">
        <v>6</v>
      </c>
      <c r="C22" s="23" t="s">
        <v>40</v>
      </c>
      <c r="D22" s="20">
        <v>0.32258064516129031</v>
      </c>
      <c r="E22" s="17">
        <v>-9.6774193548387094E-2</v>
      </c>
      <c r="F22" s="22">
        <v>9.6774193548387094E-2</v>
      </c>
      <c r="G22" s="20">
        <v>-0.19354838709677419</v>
      </c>
      <c r="H22" s="22">
        <v>0.19354838709677419</v>
      </c>
      <c r="I22" s="20">
        <v>0.16129032258064516</v>
      </c>
      <c r="J22" s="22">
        <v>-0.29032258064516131</v>
      </c>
      <c r="K22" s="22">
        <v>59</v>
      </c>
      <c r="L22" s="24" t="s">
        <v>160</v>
      </c>
      <c r="M22" s="27"/>
      <c r="N22" s="18" t="s">
        <v>146</v>
      </c>
      <c r="O22" s="18" t="s">
        <v>146</v>
      </c>
      <c r="P22" s="16"/>
    </row>
    <row r="23" spans="1:21" x14ac:dyDescent="0.2">
      <c r="A23" s="16" t="s">
        <v>48</v>
      </c>
      <c r="B23" s="26">
        <v>6</v>
      </c>
      <c r="C23" s="23" t="s">
        <v>42</v>
      </c>
      <c r="D23" s="20">
        <v>0</v>
      </c>
      <c r="E23" s="17">
        <v>0.12903225806451613</v>
      </c>
      <c r="F23" s="22">
        <v>0.22580645161290322</v>
      </c>
      <c r="G23" s="20">
        <v>6.4516129032258063E-2</v>
      </c>
      <c r="H23" s="22">
        <v>0.58064516129032262</v>
      </c>
      <c r="I23" s="20">
        <v>-0.25806451612903225</v>
      </c>
      <c r="J23" s="22">
        <v>0.35483870967741937</v>
      </c>
      <c r="K23" s="22">
        <v>63.833333333333336</v>
      </c>
      <c r="L23" s="24" t="s">
        <v>161</v>
      </c>
      <c r="M23" s="27"/>
      <c r="N23" s="18" t="s">
        <v>146</v>
      </c>
      <c r="O23" s="18" t="s">
        <v>146</v>
      </c>
      <c r="P23" s="16"/>
      <c r="Q23" t="s">
        <v>207</v>
      </c>
      <c r="U23" t="s">
        <v>208</v>
      </c>
    </row>
    <row r="24" spans="1:21" x14ac:dyDescent="0.2">
      <c r="A24" s="16" t="s">
        <v>50</v>
      </c>
      <c r="B24" s="26">
        <v>6</v>
      </c>
      <c r="C24" s="23" t="s">
        <v>45</v>
      </c>
      <c r="D24" s="20">
        <v>-0.29032258064516131</v>
      </c>
      <c r="E24" s="17">
        <v>0.77419354838709675</v>
      </c>
      <c r="F24" s="22">
        <v>0.19354838709677419</v>
      </c>
      <c r="G24" s="20">
        <v>-0.54838709677419351</v>
      </c>
      <c r="H24" s="22">
        <v>9.6774193548387094E-2</v>
      </c>
      <c r="I24" s="20">
        <v>-0.58064516129032262</v>
      </c>
      <c r="J24" s="22">
        <v>0.38709677419354838</v>
      </c>
      <c r="K24" s="22">
        <v>56.583333333333336</v>
      </c>
      <c r="L24" s="24" t="s">
        <v>162</v>
      </c>
      <c r="M24" s="27"/>
      <c r="N24" s="18" t="s">
        <v>146</v>
      </c>
      <c r="O24" s="18" t="s">
        <v>148</v>
      </c>
      <c r="P24" s="16"/>
      <c r="Q24" s="29" t="s">
        <v>209</v>
      </c>
    </row>
    <row r="25" spans="1:21" x14ac:dyDescent="0.2">
      <c r="A25" s="16" t="s">
        <v>51</v>
      </c>
      <c r="B25" s="26">
        <v>6</v>
      </c>
      <c r="C25" s="23" t="s">
        <v>38</v>
      </c>
      <c r="D25" s="20">
        <v>-6.4516129032258063E-2</v>
      </c>
      <c r="E25" s="17">
        <v>0.25806451612903225</v>
      </c>
      <c r="F25" s="22">
        <v>-3.2258064516129031E-2</v>
      </c>
      <c r="G25" s="20">
        <v>-0.64516129032258063</v>
      </c>
      <c r="H25" s="22">
        <v>0.35483870967741937</v>
      </c>
      <c r="I25" s="20">
        <v>-6.4516129032258063E-2</v>
      </c>
      <c r="J25" s="22">
        <v>0.12903225806451613</v>
      </c>
      <c r="K25" s="22">
        <v>59.75</v>
      </c>
      <c r="L25" s="24" t="s">
        <v>161</v>
      </c>
      <c r="M25" s="27"/>
      <c r="N25" s="18" t="s">
        <v>146</v>
      </c>
      <c r="O25" s="18" t="s">
        <v>148</v>
      </c>
      <c r="P25" s="16"/>
    </row>
    <row r="26" spans="1:21" x14ac:dyDescent="0.2">
      <c r="A26" s="16" t="s">
        <v>53</v>
      </c>
      <c r="B26" s="26">
        <v>6</v>
      </c>
      <c r="C26" s="23" t="s">
        <v>46</v>
      </c>
      <c r="D26" s="20">
        <v>1</v>
      </c>
      <c r="E26" s="17">
        <v>0.38709677419354838</v>
      </c>
      <c r="F26" s="22">
        <v>-0.64516129032258063</v>
      </c>
      <c r="G26" s="20">
        <v>-0.19354838709677419</v>
      </c>
      <c r="H26" s="22">
        <v>0.54838709677419351</v>
      </c>
      <c r="I26" s="20">
        <v>0.29032258064516131</v>
      </c>
      <c r="J26" s="22">
        <v>-6.4516129032258063E-2</v>
      </c>
      <c r="K26" s="22">
        <v>61.666666666666664</v>
      </c>
      <c r="L26" s="24" t="s">
        <v>163</v>
      </c>
      <c r="M26" s="27"/>
      <c r="N26" s="18" t="s">
        <v>146</v>
      </c>
      <c r="O26" s="18" t="s">
        <v>146</v>
      </c>
      <c r="P26" s="16"/>
    </row>
    <row r="27" spans="1:21" x14ac:dyDescent="0.2">
      <c r="A27" s="16" t="s">
        <v>54</v>
      </c>
      <c r="B27" s="26">
        <v>6</v>
      </c>
      <c r="C27" s="23" t="s">
        <v>19</v>
      </c>
      <c r="D27" s="20">
        <v>-6.4516129032258063E-2</v>
      </c>
      <c r="E27" s="17">
        <v>0.38709677419354838</v>
      </c>
      <c r="F27" s="22">
        <v>9.6774193548387094E-2</v>
      </c>
      <c r="G27" s="20">
        <v>3.2258064516129031E-2</v>
      </c>
      <c r="H27" s="22">
        <v>6.4516129032258063E-2</v>
      </c>
      <c r="I27" s="20">
        <v>-0.35483870967741937</v>
      </c>
      <c r="J27" s="22">
        <v>0.16129032258064516</v>
      </c>
      <c r="K27" s="22">
        <v>60.083333333333336</v>
      </c>
      <c r="L27" s="24" t="s">
        <v>85</v>
      </c>
      <c r="M27" s="27"/>
      <c r="N27" s="18" t="s">
        <v>146</v>
      </c>
      <c r="O27" s="18" t="s">
        <v>146</v>
      </c>
      <c r="P27" s="16"/>
    </row>
    <row r="28" spans="1:21" x14ac:dyDescent="0.2">
      <c r="A28" s="16" t="s">
        <v>55</v>
      </c>
      <c r="B28" s="26">
        <v>5</v>
      </c>
      <c r="C28" s="23" t="s">
        <v>56</v>
      </c>
      <c r="D28" s="20">
        <v>0.22580645161290322</v>
      </c>
      <c r="E28" s="17">
        <v>-0.22580645161290322</v>
      </c>
      <c r="F28" s="22">
        <v>-0.16129032258064516</v>
      </c>
      <c r="G28" s="20">
        <v>0.12903225806451613</v>
      </c>
      <c r="H28" s="22">
        <v>0.80645161290322576</v>
      </c>
      <c r="I28" s="20">
        <v>9.6774193548387094E-2</v>
      </c>
      <c r="J28" s="22">
        <v>0.12903225806451613</v>
      </c>
      <c r="K28" s="22">
        <v>54.016666666666666</v>
      </c>
      <c r="L28" s="24" t="s">
        <v>91</v>
      </c>
      <c r="M28" s="27">
        <v>41.5</v>
      </c>
      <c r="N28" s="18" t="s">
        <v>146</v>
      </c>
      <c r="O28" s="18" t="s">
        <v>146</v>
      </c>
      <c r="P28" s="16" t="s">
        <v>210</v>
      </c>
      <c r="Q28" t="s">
        <v>213</v>
      </c>
      <c r="U28" t="s">
        <v>214</v>
      </c>
    </row>
    <row r="29" spans="1:21" x14ac:dyDescent="0.2">
      <c r="A29" s="16" t="s">
        <v>56</v>
      </c>
      <c r="B29" s="26">
        <v>6</v>
      </c>
      <c r="C29" s="23" t="s">
        <v>55</v>
      </c>
      <c r="D29" s="20">
        <v>0.16129032258064516</v>
      </c>
      <c r="E29" s="17">
        <v>-3.2258064516129031E-2</v>
      </c>
      <c r="F29" s="22">
        <v>0</v>
      </c>
      <c r="G29" s="20">
        <v>-0.25806451612903225</v>
      </c>
      <c r="H29" s="22">
        <v>-0.4838709677419355</v>
      </c>
      <c r="I29" s="20">
        <v>-0.19354838709677419</v>
      </c>
      <c r="J29" s="22">
        <v>-0.12903225806451613</v>
      </c>
      <c r="K29" s="22">
        <v>54.016666666666666</v>
      </c>
      <c r="L29" s="24" t="s">
        <v>80</v>
      </c>
      <c r="M29" s="27">
        <v>41.5</v>
      </c>
      <c r="N29" s="18" t="s">
        <v>146</v>
      </c>
      <c r="O29" s="18" t="s">
        <v>146</v>
      </c>
      <c r="P29" s="16" t="s">
        <v>211</v>
      </c>
      <c r="Q29" s="28" t="s">
        <v>212</v>
      </c>
      <c r="U29" t="s">
        <v>215</v>
      </c>
    </row>
    <row r="30" spans="1:21" x14ac:dyDescent="0.2">
      <c r="A30" s="16" t="s">
        <v>58</v>
      </c>
      <c r="B30" s="26">
        <v>6</v>
      </c>
      <c r="C30" s="23"/>
      <c r="D30" s="20" t="s">
        <v>146</v>
      </c>
      <c r="E30" s="17" t="s">
        <v>146</v>
      </c>
      <c r="F30" s="22" t="s">
        <v>146</v>
      </c>
      <c r="G30" s="20" t="s">
        <v>146</v>
      </c>
      <c r="H30" s="22" t="s">
        <v>146</v>
      </c>
      <c r="I30" s="20" t="s">
        <v>146</v>
      </c>
      <c r="J30" s="22" t="s">
        <v>146</v>
      </c>
      <c r="K30" s="22" t="s">
        <v>146</v>
      </c>
      <c r="L30" s="24"/>
      <c r="M30" s="27"/>
      <c r="N30" s="18" t="s">
        <v>146</v>
      </c>
      <c r="O30" s="18" t="s">
        <v>146</v>
      </c>
      <c r="P30" s="16"/>
    </row>
    <row r="31" spans="1:21" x14ac:dyDescent="0.2">
      <c r="A31" s="16" t="s">
        <v>59</v>
      </c>
      <c r="B31" s="26">
        <v>6</v>
      </c>
      <c r="C31" s="23" t="s">
        <v>27</v>
      </c>
      <c r="D31" s="20">
        <v>-0.38709677419354838</v>
      </c>
      <c r="E31" s="17">
        <v>-0.35483870967741937</v>
      </c>
      <c r="F31" s="22">
        <v>-0.4838709677419355</v>
      </c>
      <c r="G31" s="20">
        <v>0</v>
      </c>
      <c r="H31" s="22">
        <v>-0.12903225806451613</v>
      </c>
      <c r="I31" s="20">
        <v>-0.35483870967741937</v>
      </c>
      <c r="J31" s="22">
        <v>-0.77419354838709675</v>
      </c>
      <c r="K31" s="22">
        <v>60.25</v>
      </c>
      <c r="L31" s="24" t="s">
        <v>164</v>
      </c>
      <c r="M31" s="27"/>
      <c r="N31" s="18" t="s">
        <v>146</v>
      </c>
      <c r="O31" s="18" t="s">
        <v>146</v>
      </c>
      <c r="P31" s="16"/>
    </row>
    <row r="32" spans="1:21" x14ac:dyDescent="0.2">
      <c r="A32" s="16" t="s">
        <v>61</v>
      </c>
      <c r="B32" s="26">
        <v>6</v>
      </c>
      <c r="C32" s="23" t="s">
        <v>31</v>
      </c>
      <c r="D32" s="20">
        <v>0.32258064516129031</v>
      </c>
      <c r="E32" s="17">
        <v>-0.19354838709677419</v>
      </c>
      <c r="F32" s="22">
        <v>-9.6774193548387094E-2</v>
      </c>
      <c r="G32" s="20">
        <v>0.80645161290322576</v>
      </c>
      <c r="H32" s="22">
        <v>0.4838709677419355</v>
      </c>
      <c r="I32" s="20">
        <v>-0.54838709677419351</v>
      </c>
      <c r="J32" s="22">
        <v>0.93548387096774188</v>
      </c>
      <c r="K32" s="22">
        <v>66.083333333333329</v>
      </c>
      <c r="L32" s="24" t="s">
        <v>80</v>
      </c>
      <c r="M32" s="27"/>
      <c r="N32" s="18" t="s">
        <v>146</v>
      </c>
      <c r="O32" s="18" t="s">
        <v>147</v>
      </c>
      <c r="P32" s="16"/>
    </row>
    <row r="33" spans="1:16" x14ac:dyDescent="0.2">
      <c r="A33" s="16" t="s">
        <v>62</v>
      </c>
      <c r="B33" s="26">
        <v>6</v>
      </c>
      <c r="C33" s="23"/>
      <c r="D33" s="20" t="s">
        <v>146</v>
      </c>
      <c r="E33" s="17" t="s">
        <v>146</v>
      </c>
      <c r="F33" s="22" t="s">
        <v>146</v>
      </c>
      <c r="G33" s="20" t="s">
        <v>146</v>
      </c>
      <c r="H33" s="22" t="s">
        <v>146</v>
      </c>
      <c r="I33" s="20" t="s">
        <v>146</v>
      </c>
      <c r="J33" s="22" t="s">
        <v>146</v>
      </c>
      <c r="K33" s="22" t="s">
        <v>146</v>
      </c>
      <c r="L33" s="24"/>
      <c r="M33" s="27"/>
      <c r="N33" s="18" t="s">
        <v>146</v>
      </c>
      <c r="O33" s="18" t="s">
        <v>146</v>
      </c>
      <c r="P33" s="16"/>
    </row>
  </sheetData>
  <conditionalFormatting sqref="K2:K3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2:D3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3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3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E6628-4990-2D48-9048-0078471C3683}">
  <sheetPr codeName="Sheet13"/>
  <dimension ref="A1:W33"/>
  <sheetViews>
    <sheetView workbookViewId="0">
      <selection activeCell="V5" sqref="V5"/>
    </sheetView>
  </sheetViews>
  <sheetFormatPr baseColWidth="10" defaultRowHeight="16" x14ac:dyDescent="0.2"/>
  <cols>
    <col min="1" max="1" width="16.83203125" customWidth="1"/>
    <col min="2" max="2" width="5.6640625" bestFit="1" customWidth="1"/>
    <col min="3" max="3" width="16.83203125" bestFit="1" customWidth="1"/>
    <col min="4" max="11" width="14.83203125" customWidth="1"/>
    <col min="12" max="13" width="8.83203125" customWidth="1"/>
    <col min="14" max="15" width="16.83203125" style="5" customWidth="1"/>
    <col min="16" max="16" width="25.83203125" style="5" customWidth="1"/>
    <col min="17" max="17" width="7.33203125" style="5" bestFit="1" customWidth="1"/>
    <col min="18" max="18" width="25.83203125" style="5" customWidth="1"/>
    <col min="19" max="19" width="7.33203125" style="5" bestFit="1" customWidth="1"/>
    <col min="20" max="20" width="25.83203125" style="5" customWidth="1"/>
    <col min="21" max="21" width="7.33203125" style="5" bestFit="1" customWidth="1"/>
    <col min="22" max="22" width="43.33203125" style="5" bestFit="1" customWidth="1"/>
  </cols>
  <sheetData>
    <row r="1" spans="1:23" s="12" customFormat="1" ht="19" x14ac:dyDescent="0.25">
      <c r="A1" s="15" t="s">
        <v>77</v>
      </c>
      <c r="B1" s="25" t="s">
        <v>173</v>
      </c>
      <c r="C1" s="21" t="s">
        <v>78</v>
      </c>
      <c r="D1" s="19" t="s">
        <v>112</v>
      </c>
      <c r="E1" s="15" t="s">
        <v>114</v>
      </c>
      <c r="F1" s="21" t="s">
        <v>115</v>
      </c>
      <c r="G1" s="19" t="s">
        <v>113</v>
      </c>
      <c r="H1" s="21" t="s">
        <v>116</v>
      </c>
      <c r="I1" s="19" t="s">
        <v>119</v>
      </c>
      <c r="J1" s="21" t="s">
        <v>118</v>
      </c>
      <c r="K1" s="21" t="s">
        <v>172</v>
      </c>
      <c r="L1" s="19" t="s">
        <v>83</v>
      </c>
      <c r="M1" s="19" t="s">
        <v>185</v>
      </c>
      <c r="N1" s="15" t="s">
        <v>117</v>
      </c>
      <c r="O1" s="15" t="s">
        <v>64</v>
      </c>
      <c r="P1" s="15" t="s">
        <v>223</v>
      </c>
      <c r="Q1" s="15" t="s">
        <v>226</v>
      </c>
      <c r="R1" s="15" t="s">
        <v>224</v>
      </c>
      <c r="S1" s="15" t="s">
        <v>226</v>
      </c>
      <c r="T1" s="15" t="s">
        <v>225</v>
      </c>
      <c r="U1" s="15" t="s">
        <v>226</v>
      </c>
      <c r="V1" s="15" t="s">
        <v>120</v>
      </c>
      <c r="W1" s="34"/>
    </row>
    <row r="2" spans="1:23" x14ac:dyDescent="0.2">
      <c r="A2" s="16" t="s">
        <v>16</v>
      </c>
      <c r="B2" s="36">
        <v>7</v>
      </c>
      <c r="C2" s="23" t="s">
        <v>27</v>
      </c>
      <c r="D2" s="20">
        <v>-0.19354838709677419</v>
      </c>
      <c r="E2" s="17">
        <v>-0.64516129032258063</v>
      </c>
      <c r="F2" s="22">
        <v>-0.41935483870967744</v>
      </c>
      <c r="G2" s="20">
        <v>0.58064516129032262</v>
      </c>
      <c r="H2" s="22">
        <v>9.6774193548387094E-2</v>
      </c>
      <c r="I2" s="20">
        <v>-0.32258064516129031</v>
      </c>
      <c r="J2" s="22">
        <v>-6.4516129032258063E-2</v>
      </c>
      <c r="K2" s="22">
        <v>60.955357142857146</v>
      </c>
      <c r="L2" s="24" t="s">
        <v>228</v>
      </c>
      <c r="M2" s="27">
        <v>45</v>
      </c>
      <c r="N2" s="18" t="s">
        <v>146</v>
      </c>
      <c r="O2" s="18" t="s">
        <v>147</v>
      </c>
      <c r="P2" s="16"/>
      <c r="Q2" s="16"/>
      <c r="R2" s="16"/>
      <c r="S2" s="16"/>
      <c r="T2" s="16"/>
      <c r="U2" s="16"/>
      <c r="V2" s="16" t="s">
        <v>243</v>
      </c>
      <c r="W2" s="35"/>
    </row>
    <row r="3" spans="1:23" x14ac:dyDescent="0.2">
      <c r="A3" s="16" t="s">
        <v>18</v>
      </c>
      <c r="B3" s="36">
        <v>8</v>
      </c>
      <c r="C3" s="23" t="s">
        <v>58</v>
      </c>
      <c r="D3" s="20">
        <v>-0.38709677419354838</v>
      </c>
      <c r="E3" s="17">
        <v>-0.32258064516129031</v>
      </c>
      <c r="F3" s="22">
        <v>-0.5161290322580645</v>
      </c>
      <c r="G3" s="20">
        <v>0.16129032258064516</v>
      </c>
      <c r="H3" s="22">
        <v>0.22580645161290322</v>
      </c>
      <c r="I3" s="20">
        <v>-0.67741935483870963</v>
      </c>
      <c r="J3" s="22">
        <v>-0.29032258064516131</v>
      </c>
      <c r="K3" s="22">
        <v>58.928571428571431</v>
      </c>
      <c r="L3" s="24" t="s">
        <v>238</v>
      </c>
      <c r="M3" s="27">
        <v>40</v>
      </c>
      <c r="N3" s="18" t="s">
        <v>146</v>
      </c>
      <c r="O3" s="18" t="s">
        <v>146</v>
      </c>
      <c r="P3" s="16"/>
      <c r="Q3" s="16"/>
      <c r="R3" s="16"/>
      <c r="S3" s="16"/>
      <c r="T3" s="16"/>
      <c r="U3" s="16"/>
      <c r="V3" s="16"/>
      <c r="W3" s="35"/>
    </row>
    <row r="4" spans="1:23" x14ac:dyDescent="0.2">
      <c r="A4" s="16" t="s">
        <v>19</v>
      </c>
      <c r="B4" s="36">
        <v>8</v>
      </c>
      <c r="C4" s="23" t="s">
        <v>23</v>
      </c>
      <c r="D4" s="20">
        <v>0.5161290322580645</v>
      </c>
      <c r="E4" s="17">
        <v>-6.4516129032258063E-2</v>
      </c>
      <c r="F4" s="22">
        <v>-0.61290322580645162</v>
      </c>
      <c r="G4" s="20">
        <v>-0.74193548387096775</v>
      </c>
      <c r="H4" s="22">
        <v>-0.29032258064516131</v>
      </c>
      <c r="I4" s="20">
        <v>0.45161290322580644</v>
      </c>
      <c r="J4" s="22">
        <v>-0.41935483870967744</v>
      </c>
      <c r="K4" s="22">
        <v>58.75</v>
      </c>
      <c r="L4" s="24" t="s">
        <v>156</v>
      </c>
      <c r="M4" s="27">
        <v>47</v>
      </c>
      <c r="N4" s="18" t="s">
        <v>147</v>
      </c>
      <c r="O4" s="18" t="s">
        <v>148</v>
      </c>
      <c r="P4" s="16"/>
      <c r="Q4" s="16"/>
      <c r="R4" s="16"/>
      <c r="S4" s="16"/>
      <c r="T4" s="16"/>
      <c r="U4" s="16"/>
      <c r="V4" s="16" t="s">
        <v>244</v>
      </c>
      <c r="W4" s="35"/>
    </row>
    <row r="5" spans="1:23" x14ac:dyDescent="0.2">
      <c r="A5" s="16" t="s">
        <v>21</v>
      </c>
      <c r="B5" s="36">
        <v>7</v>
      </c>
      <c r="C5" s="23" t="s">
        <v>44</v>
      </c>
      <c r="D5" s="20">
        <v>0.4838709677419355</v>
      </c>
      <c r="E5" s="17">
        <v>0.41935483870967744</v>
      </c>
      <c r="F5" s="22">
        <v>6.4516129032258063E-2</v>
      </c>
      <c r="G5" s="20">
        <v>-0.38709677419354838</v>
      </c>
      <c r="H5" s="22">
        <v>0.58064516129032262</v>
      </c>
      <c r="I5" s="20">
        <v>0.19354838709677419</v>
      </c>
      <c r="J5" s="22">
        <v>0.70967741935483875</v>
      </c>
      <c r="K5" s="22">
        <v>64.785714285714278</v>
      </c>
      <c r="L5" s="24" t="s">
        <v>230</v>
      </c>
      <c r="M5" s="27">
        <v>48.5</v>
      </c>
      <c r="N5" s="18" t="s">
        <v>146</v>
      </c>
      <c r="O5" s="18" t="s">
        <v>146</v>
      </c>
      <c r="P5" s="16"/>
      <c r="Q5" s="16"/>
      <c r="R5" s="16"/>
      <c r="S5" s="16"/>
      <c r="T5" s="16"/>
      <c r="U5" s="16"/>
      <c r="V5" s="16"/>
      <c r="W5" s="35"/>
    </row>
    <row r="6" spans="1:23" x14ac:dyDescent="0.2">
      <c r="A6" s="16" t="s">
        <v>22</v>
      </c>
      <c r="B6" s="36">
        <v>8</v>
      </c>
      <c r="C6" s="23" t="s">
        <v>35</v>
      </c>
      <c r="D6" s="20">
        <v>0.29032258064516131</v>
      </c>
      <c r="E6" s="17">
        <v>0.32258064516129031</v>
      </c>
      <c r="F6" s="22">
        <v>0.16129032258064516</v>
      </c>
      <c r="G6" s="20">
        <v>6.4516129032258063E-2</v>
      </c>
      <c r="H6" s="22">
        <v>-0.70967741935483875</v>
      </c>
      <c r="I6" s="20">
        <v>-9.6774193548387094E-2</v>
      </c>
      <c r="J6" s="22">
        <v>-0.67741935483870963</v>
      </c>
      <c r="K6" s="22">
        <v>63.125</v>
      </c>
      <c r="L6" s="24" t="s">
        <v>229</v>
      </c>
      <c r="M6" s="27">
        <v>49.5</v>
      </c>
      <c r="N6" s="18" t="s">
        <v>146</v>
      </c>
      <c r="O6" s="18" t="s">
        <v>146</v>
      </c>
      <c r="P6" s="16"/>
      <c r="Q6" s="16"/>
      <c r="R6" s="16"/>
      <c r="S6" s="16"/>
      <c r="T6" s="16"/>
      <c r="U6" s="16"/>
      <c r="V6" s="16"/>
      <c r="W6" s="35"/>
    </row>
    <row r="7" spans="1:23" x14ac:dyDescent="0.2">
      <c r="A7" s="16" t="s">
        <v>23</v>
      </c>
      <c r="B7" s="36">
        <v>8</v>
      </c>
      <c r="C7" s="23" t="s">
        <v>19</v>
      </c>
      <c r="D7" s="20">
        <v>-3.2258064516129031E-2</v>
      </c>
      <c r="E7" s="17">
        <v>0.19354838709677419</v>
      </c>
      <c r="F7" s="22">
        <v>9.6774193548387094E-2</v>
      </c>
      <c r="G7" s="20">
        <v>0.12903225806451613</v>
      </c>
      <c r="H7" s="22">
        <v>0.16129032258064516</v>
      </c>
      <c r="I7" s="20">
        <v>-0.64516129032258063</v>
      </c>
      <c r="J7" s="22">
        <v>0.45161290322580644</v>
      </c>
      <c r="K7" s="22">
        <v>58.75</v>
      </c>
      <c r="L7" s="24" t="s">
        <v>154</v>
      </c>
      <c r="M7" s="27">
        <v>47</v>
      </c>
      <c r="N7" s="18" t="s">
        <v>146</v>
      </c>
      <c r="O7" s="18" t="s">
        <v>146</v>
      </c>
      <c r="P7" s="16"/>
      <c r="Q7" s="16"/>
      <c r="R7" s="16"/>
      <c r="S7" s="16"/>
      <c r="T7" s="16"/>
      <c r="U7" s="16"/>
      <c r="V7" s="16"/>
      <c r="W7" s="35"/>
    </row>
    <row r="8" spans="1:23" x14ac:dyDescent="0.2">
      <c r="A8" s="16" t="s">
        <v>25</v>
      </c>
      <c r="B8" s="36">
        <v>8</v>
      </c>
      <c r="C8" s="23"/>
      <c r="D8" s="20" t="s">
        <v>146</v>
      </c>
      <c r="E8" s="17" t="s">
        <v>146</v>
      </c>
      <c r="F8" s="22" t="s">
        <v>146</v>
      </c>
      <c r="G8" s="20" t="s">
        <v>146</v>
      </c>
      <c r="H8" s="22" t="s">
        <v>146</v>
      </c>
      <c r="I8" s="20" t="s">
        <v>146</v>
      </c>
      <c r="J8" s="22" t="s">
        <v>146</v>
      </c>
      <c r="K8" s="22" t="s">
        <v>146</v>
      </c>
      <c r="L8" s="24"/>
      <c r="M8" s="27"/>
      <c r="N8" s="18" t="s">
        <v>146</v>
      </c>
      <c r="O8" s="18" t="s">
        <v>146</v>
      </c>
      <c r="P8" s="16"/>
      <c r="Q8" s="16"/>
      <c r="R8" s="16"/>
      <c r="S8" s="16"/>
      <c r="T8" s="16"/>
      <c r="U8" s="16"/>
      <c r="V8" s="16"/>
      <c r="W8" s="35"/>
    </row>
    <row r="9" spans="1:23" x14ac:dyDescent="0.2">
      <c r="A9" s="16" t="s">
        <v>27</v>
      </c>
      <c r="B9" s="36">
        <v>8</v>
      </c>
      <c r="C9" s="23" t="s">
        <v>16</v>
      </c>
      <c r="D9" s="20">
        <v>9.6774193548387094E-2</v>
      </c>
      <c r="E9" s="17">
        <v>0.54838709677419351</v>
      </c>
      <c r="F9" s="22">
        <v>-0.64516129032258063</v>
      </c>
      <c r="G9" s="20">
        <v>0.19354838709677419</v>
      </c>
      <c r="H9" s="22">
        <v>0.64516129032258063</v>
      </c>
      <c r="I9" s="20">
        <v>6.4516129032258063E-2</v>
      </c>
      <c r="J9" s="22">
        <v>0.80645161290322576</v>
      </c>
      <c r="K9" s="22">
        <v>60.955357142857139</v>
      </c>
      <c r="L9" s="24" t="s">
        <v>232</v>
      </c>
      <c r="M9" s="27">
        <v>45</v>
      </c>
      <c r="N9" s="18" t="s">
        <v>146</v>
      </c>
      <c r="O9" s="18" t="s">
        <v>146</v>
      </c>
      <c r="P9" s="16"/>
      <c r="Q9" s="16"/>
      <c r="R9" s="16"/>
      <c r="S9" s="16"/>
      <c r="T9" s="16"/>
      <c r="U9" s="16"/>
      <c r="V9" s="16"/>
      <c r="W9" s="35"/>
    </row>
    <row r="10" spans="1:23" x14ac:dyDescent="0.2">
      <c r="A10" s="16" t="s">
        <v>29</v>
      </c>
      <c r="B10" s="36">
        <v>7</v>
      </c>
      <c r="C10" s="23" t="s">
        <v>38</v>
      </c>
      <c r="D10" s="20">
        <v>-0.32258064516129031</v>
      </c>
      <c r="E10" s="17">
        <v>0.25806451612903225</v>
      </c>
      <c r="F10" s="22">
        <v>0.29032258064516131</v>
      </c>
      <c r="G10" s="20">
        <v>6.4516129032258063E-2</v>
      </c>
      <c r="H10" s="22">
        <v>0</v>
      </c>
      <c r="I10" s="20">
        <v>0.22580645161290322</v>
      </c>
      <c r="J10" s="22">
        <v>0.12903225806451613</v>
      </c>
      <c r="K10" s="22">
        <v>60.8125</v>
      </c>
      <c r="L10" s="24" t="s">
        <v>239</v>
      </c>
      <c r="M10" s="27">
        <v>49</v>
      </c>
      <c r="N10" s="18" t="s">
        <v>146</v>
      </c>
      <c r="O10" s="18" t="s">
        <v>146</v>
      </c>
      <c r="P10" s="16"/>
      <c r="Q10" s="16"/>
      <c r="R10" s="16"/>
      <c r="S10" s="16"/>
      <c r="T10" s="16"/>
      <c r="U10" s="16"/>
      <c r="V10" s="16"/>
      <c r="W10" s="35"/>
    </row>
    <row r="11" spans="1:23" x14ac:dyDescent="0.2">
      <c r="A11" s="16" t="s">
        <v>31</v>
      </c>
      <c r="B11" s="36">
        <v>8</v>
      </c>
      <c r="C11" s="23" t="s">
        <v>47</v>
      </c>
      <c r="D11" s="20">
        <v>-0.25806451612903225</v>
      </c>
      <c r="E11" s="17">
        <v>9.6774193548387094E-2</v>
      </c>
      <c r="F11" s="22">
        <v>0.38709677419354838</v>
      </c>
      <c r="G11" s="20">
        <v>0.74193548387096775</v>
      </c>
      <c r="H11" s="22">
        <v>-0.35483870967741937</v>
      </c>
      <c r="I11" s="20">
        <v>0.25806451612903225</v>
      </c>
      <c r="J11" s="22">
        <v>-9.6774193548387094E-2</v>
      </c>
      <c r="K11" s="22">
        <v>62.875</v>
      </c>
      <c r="L11" s="24" t="s">
        <v>160</v>
      </c>
      <c r="M11" s="27">
        <v>47.5</v>
      </c>
      <c r="N11" s="18" t="s">
        <v>146</v>
      </c>
      <c r="O11" s="18" t="s">
        <v>146</v>
      </c>
      <c r="P11" s="16"/>
      <c r="Q11" s="16"/>
      <c r="R11" s="16"/>
      <c r="S11" s="16"/>
      <c r="T11" s="16"/>
      <c r="U11" s="16"/>
      <c r="V11" s="16"/>
      <c r="W11" s="35"/>
    </row>
    <row r="12" spans="1:23" x14ac:dyDescent="0.2">
      <c r="A12" s="16" t="s">
        <v>33</v>
      </c>
      <c r="B12" s="36">
        <v>8</v>
      </c>
      <c r="C12" s="23" t="s">
        <v>45</v>
      </c>
      <c r="D12" s="20">
        <v>0.16129032258064516</v>
      </c>
      <c r="E12" s="17">
        <v>-3.2258064516129031E-2</v>
      </c>
      <c r="F12" s="22">
        <v>3.2258064516129031E-2</v>
      </c>
      <c r="G12" s="20">
        <v>0</v>
      </c>
      <c r="H12" s="22">
        <v>0.41935483870967744</v>
      </c>
      <c r="I12" s="20">
        <v>-0.12903225806451613</v>
      </c>
      <c r="J12" s="22">
        <v>0.64516129032258063</v>
      </c>
      <c r="K12" s="22">
        <v>59.723214285714285</v>
      </c>
      <c r="L12" s="24" t="s">
        <v>227</v>
      </c>
      <c r="M12" s="27">
        <v>45.5</v>
      </c>
      <c r="N12" s="18" t="s">
        <v>146</v>
      </c>
      <c r="O12" s="18" t="s">
        <v>146</v>
      </c>
      <c r="P12" s="16"/>
      <c r="Q12" s="16"/>
      <c r="R12" s="16"/>
      <c r="S12" s="16"/>
      <c r="T12" s="16"/>
      <c r="U12" s="16"/>
      <c r="V12" s="16" t="s">
        <v>241</v>
      </c>
      <c r="W12" s="35"/>
    </row>
    <row r="13" spans="1:23" x14ac:dyDescent="0.2">
      <c r="A13" s="16" t="s">
        <v>35</v>
      </c>
      <c r="B13" s="36">
        <v>7</v>
      </c>
      <c r="C13" s="23" t="s">
        <v>22</v>
      </c>
      <c r="D13" s="20">
        <v>0.29032258064516131</v>
      </c>
      <c r="E13" s="17">
        <v>0</v>
      </c>
      <c r="F13" s="22">
        <v>-0.12903225806451613</v>
      </c>
      <c r="G13" s="20">
        <v>0.22580645161290322</v>
      </c>
      <c r="H13" s="22">
        <v>0.19354838709677419</v>
      </c>
      <c r="I13" s="20">
        <v>0.16129032258064516</v>
      </c>
      <c r="J13" s="22">
        <v>-0.32258064516129031</v>
      </c>
      <c r="K13" s="22">
        <v>63.125</v>
      </c>
      <c r="L13" s="24" t="s">
        <v>227</v>
      </c>
      <c r="M13" s="27">
        <v>49.5</v>
      </c>
      <c r="N13" s="18" t="s">
        <v>146</v>
      </c>
      <c r="O13" s="18" t="s">
        <v>146</v>
      </c>
      <c r="P13" s="16"/>
      <c r="Q13" s="16"/>
      <c r="R13" s="16"/>
      <c r="S13" s="16"/>
      <c r="T13" s="16"/>
      <c r="U13" s="16"/>
      <c r="V13" s="16"/>
      <c r="W13" s="35"/>
    </row>
    <row r="14" spans="1:23" x14ac:dyDescent="0.2">
      <c r="A14" s="16" t="s">
        <v>37</v>
      </c>
      <c r="B14" s="36">
        <v>8</v>
      </c>
      <c r="C14" s="23" t="s">
        <v>59</v>
      </c>
      <c r="D14" s="20">
        <v>-3.2258064516129031E-2</v>
      </c>
      <c r="E14" s="17">
        <v>6.4516129032258063E-2</v>
      </c>
      <c r="F14" s="22">
        <v>-6.4516129032258063E-2</v>
      </c>
      <c r="G14" s="20">
        <v>9.6774193548387094E-2</v>
      </c>
      <c r="H14" s="22">
        <v>-6.4516129032258063E-2</v>
      </c>
      <c r="I14" s="20">
        <v>-9.6774193548387094E-2</v>
      </c>
      <c r="J14" s="22">
        <v>0.12903225806451613</v>
      </c>
      <c r="K14" s="22">
        <v>57.6875</v>
      </c>
      <c r="L14" s="24" t="s">
        <v>82</v>
      </c>
      <c r="M14" s="27">
        <v>46.5</v>
      </c>
      <c r="N14" s="18" t="s">
        <v>146</v>
      </c>
      <c r="O14" s="18" t="s">
        <v>146</v>
      </c>
      <c r="P14" s="16"/>
      <c r="Q14" s="16"/>
      <c r="R14" s="16"/>
      <c r="S14" s="16"/>
      <c r="T14" s="16"/>
      <c r="U14" s="16"/>
      <c r="V14" s="16"/>
      <c r="W14" s="35"/>
    </row>
    <row r="15" spans="1:23" x14ac:dyDescent="0.2">
      <c r="A15" s="16" t="s">
        <v>38</v>
      </c>
      <c r="B15" s="36">
        <v>8</v>
      </c>
      <c r="C15" s="23" t="s">
        <v>29</v>
      </c>
      <c r="D15" s="20">
        <v>-0.45161290322580644</v>
      </c>
      <c r="E15" s="17">
        <v>-0.41935483870967744</v>
      </c>
      <c r="F15" s="22">
        <v>-0.64516129032258063</v>
      </c>
      <c r="G15" s="20">
        <v>0.93548387096774188</v>
      </c>
      <c r="H15" s="22">
        <v>0.58064516129032262</v>
      </c>
      <c r="I15" s="20">
        <v>-0.41935483870967744</v>
      </c>
      <c r="J15" s="22">
        <v>0.80645161290322576</v>
      </c>
      <c r="K15" s="22">
        <v>60.8125</v>
      </c>
      <c r="L15" s="24" t="s">
        <v>240</v>
      </c>
      <c r="M15" s="27">
        <v>49</v>
      </c>
      <c r="N15" s="18" t="s">
        <v>146</v>
      </c>
      <c r="O15" s="18" t="s">
        <v>147</v>
      </c>
      <c r="P15" s="16"/>
      <c r="Q15" s="16"/>
      <c r="R15" s="16"/>
      <c r="S15" s="16"/>
      <c r="T15" s="16"/>
      <c r="U15" s="16"/>
      <c r="V15" s="16"/>
      <c r="W15" s="35"/>
    </row>
    <row r="16" spans="1:23" x14ac:dyDescent="0.2">
      <c r="A16" s="16" t="s">
        <v>39</v>
      </c>
      <c r="B16" s="36">
        <v>7</v>
      </c>
      <c r="C16" s="23" t="s">
        <v>55</v>
      </c>
      <c r="D16" s="20">
        <v>-0.22580645161290322</v>
      </c>
      <c r="E16" s="17">
        <v>-0.16129032258064516</v>
      </c>
      <c r="F16" s="22">
        <v>0.61290322580645162</v>
      </c>
      <c r="G16" s="20">
        <v>-0.90322580645161288</v>
      </c>
      <c r="H16" s="22">
        <v>-0.54838709677419351</v>
      </c>
      <c r="I16" s="20">
        <v>-9.6774193548387094E-2</v>
      </c>
      <c r="J16" s="22">
        <v>-0.83870967741935487</v>
      </c>
      <c r="K16" s="22">
        <v>60.857142857142861</v>
      </c>
      <c r="L16" s="24" t="s">
        <v>88</v>
      </c>
      <c r="M16" s="27">
        <v>41.5</v>
      </c>
      <c r="N16" s="18" t="s">
        <v>146</v>
      </c>
      <c r="O16" s="18" t="s">
        <v>146</v>
      </c>
      <c r="P16" s="16"/>
      <c r="Q16" s="16"/>
      <c r="R16" s="16"/>
      <c r="S16" s="16"/>
      <c r="T16" s="16"/>
      <c r="U16" s="16"/>
      <c r="V16" s="16"/>
      <c r="W16" s="35"/>
    </row>
    <row r="17" spans="1:23" x14ac:dyDescent="0.2">
      <c r="A17" s="16" t="s">
        <v>40</v>
      </c>
      <c r="B17" s="36">
        <v>8</v>
      </c>
      <c r="C17" s="23"/>
      <c r="D17" s="20" t="s">
        <v>146</v>
      </c>
      <c r="E17" s="17" t="s">
        <v>146</v>
      </c>
      <c r="F17" s="22" t="s">
        <v>146</v>
      </c>
      <c r="G17" s="20" t="s">
        <v>146</v>
      </c>
      <c r="H17" s="22" t="s">
        <v>146</v>
      </c>
      <c r="I17" s="20" t="s">
        <v>146</v>
      </c>
      <c r="J17" s="22" t="s">
        <v>146</v>
      </c>
      <c r="K17" s="22" t="s">
        <v>146</v>
      </c>
      <c r="L17" s="24"/>
      <c r="M17" s="27"/>
      <c r="N17" s="18" t="s">
        <v>146</v>
      </c>
      <c r="O17" s="18" t="s">
        <v>146</v>
      </c>
      <c r="P17" s="16"/>
      <c r="Q17" s="16"/>
      <c r="R17" s="16"/>
      <c r="S17" s="16"/>
      <c r="T17" s="16"/>
      <c r="U17" s="16"/>
      <c r="V17" s="16"/>
      <c r="W17" s="35"/>
    </row>
    <row r="18" spans="1:23" x14ac:dyDescent="0.2">
      <c r="A18" s="16" t="s">
        <v>42</v>
      </c>
      <c r="B18" s="36">
        <v>8</v>
      </c>
      <c r="C18" s="23" t="s">
        <v>51</v>
      </c>
      <c r="D18" s="20">
        <v>-0.38709677419354838</v>
      </c>
      <c r="E18" s="17">
        <v>-0.29032258064516131</v>
      </c>
      <c r="F18" s="22">
        <v>0.32258064516129031</v>
      </c>
      <c r="G18" s="20">
        <v>0</v>
      </c>
      <c r="H18" s="22">
        <v>3.2258064516129031E-2</v>
      </c>
      <c r="I18" s="20">
        <v>-0.54838709677419351</v>
      </c>
      <c r="J18" s="22">
        <v>0.32258064516129031</v>
      </c>
      <c r="K18" s="22">
        <v>61.982142857142861</v>
      </c>
      <c r="L18" s="24" t="s">
        <v>90</v>
      </c>
      <c r="M18" s="27">
        <v>46</v>
      </c>
      <c r="N18" s="18" t="s">
        <v>146</v>
      </c>
      <c r="O18" s="18" t="s">
        <v>146</v>
      </c>
      <c r="P18" s="16"/>
      <c r="Q18" s="16"/>
      <c r="R18" s="16"/>
      <c r="S18" s="16"/>
      <c r="T18" s="16"/>
      <c r="U18" s="16"/>
      <c r="V18" s="16"/>
      <c r="W18" s="35"/>
    </row>
    <row r="19" spans="1:23" x14ac:dyDescent="0.2">
      <c r="A19" s="16" t="s">
        <v>44</v>
      </c>
      <c r="B19" s="36">
        <v>7</v>
      </c>
      <c r="C19" s="23" t="s">
        <v>21</v>
      </c>
      <c r="D19" s="20">
        <v>-0.93548387096774188</v>
      </c>
      <c r="E19" s="17">
        <v>-0.93548387096774188</v>
      </c>
      <c r="F19" s="22">
        <v>0.22580645161290322</v>
      </c>
      <c r="G19" s="20">
        <v>0.12903225806451613</v>
      </c>
      <c r="H19" s="22">
        <v>-0.77419354838709675</v>
      </c>
      <c r="I19" s="20">
        <v>-0.64516129032258063</v>
      </c>
      <c r="J19" s="22">
        <v>3.2258064516129031E-2</v>
      </c>
      <c r="K19" s="22">
        <v>64.785714285714292</v>
      </c>
      <c r="L19" s="24" t="s">
        <v>231</v>
      </c>
      <c r="M19" s="27">
        <v>48.5</v>
      </c>
      <c r="N19" s="18" t="s">
        <v>146</v>
      </c>
      <c r="O19" s="18" t="s">
        <v>146</v>
      </c>
      <c r="P19" s="16"/>
      <c r="Q19" s="16"/>
      <c r="R19" s="16"/>
      <c r="S19" s="16"/>
      <c r="T19" s="16"/>
      <c r="U19" s="16"/>
      <c r="V19" s="16"/>
      <c r="W19" s="35"/>
    </row>
    <row r="20" spans="1:23" x14ac:dyDescent="0.2">
      <c r="A20" s="16" t="s">
        <v>45</v>
      </c>
      <c r="B20" s="36">
        <v>7</v>
      </c>
      <c r="C20" s="23" t="s">
        <v>33</v>
      </c>
      <c r="D20" s="20">
        <v>3.2258064516129031E-2</v>
      </c>
      <c r="E20" s="17">
        <v>0.12903225806451613</v>
      </c>
      <c r="F20" s="22">
        <v>-0.19354838709677419</v>
      </c>
      <c r="G20" s="20">
        <v>-0.70967741935483875</v>
      </c>
      <c r="H20" s="22">
        <v>-0.35483870967741937</v>
      </c>
      <c r="I20" s="20">
        <v>-0.19354838709677419</v>
      </c>
      <c r="J20" s="22">
        <v>-0.74193548387096775</v>
      </c>
      <c r="K20" s="22">
        <v>59.723214285714285</v>
      </c>
      <c r="L20" s="24" t="s">
        <v>229</v>
      </c>
      <c r="M20" s="27">
        <v>45.5</v>
      </c>
      <c r="N20" s="18" t="s">
        <v>146</v>
      </c>
      <c r="O20" s="18" t="s">
        <v>146</v>
      </c>
      <c r="P20" s="16"/>
      <c r="Q20" s="16"/>
      <c r="R20" s="16"/>
      <c r="S20" s="16"/>
      <c r="T20" s="16"/>
      <c r="U20" s="16"/>
      <c r="V20" s="16" t="s">
        <v>242</v>
      </c>
      <c r="W20" s="35"/>
    </row>
    <row r="21" spans="1:23" x14ac:dyDescent="0.2">
      <c r="A21" s="16" t="s">
        <v>46</v>
      </c>
      <c r="B21" s="36">
        <v>8</v>
      </c>
      <c r="C21" s="23"/>
      <c r="D21" s="20" t="s">
        <v>146</v>
      </c>
      <c r="E21" s="17" t="s">
        <v>146</v>
      </c>
      <c r="F21" s="22" t="s">
        <v>146</v>
      </c>
      <c r="G21" s="20" t="s">
        <v>146</v>
      </c>
      <c r="H21" s="22" t="s">
        <v>146</v>
      </c>
      <c r="I21" s="20" t="s">
        <v>146</v>
      </c>
      <c r="J21" s="22" t="s">
        <v>146</v>
      </c>
      <c r="K21" s="22" t="s">
        <v>146</v>
      </c>
      <c r="L21" s="24"/>
      <c r="M21" s="27"/>
      <c r="N21" s="18" t="s">
        <v>146</v>
      </c>
      <c r="O21" s="18" t="s">
        <v>146</v>
      </c>
      <c r="P21" s="16"/>
      <c r="Q21" s="16"/>
      <c r="R21" s="16"/>
      <c r="S21" s="16"/>
      <c r="T21" s="16"/>
      <c r="U21" s="16"/>
      <c r="V21" s="16"/>
      <c r="W21" s="35"/>
    </row>
    <row r="22" spans="1:23" x14ac:dyDescent="0.2">
      <c r="A22" s="16" t="s">
        <v>47</v>
      </c>
      <c r="B22" s="36">
        <v>8</v>
      </c>
      <c r="C22" s="23" t="s">
        <v>31</v>
      </c>
      <c r="D22" s="20">
        <v>0.5161290322580645</v>
      </c>
      <c r="E22" s="17">
        <v>0.35483870967741937</v>
      </c>
      <c r="F22" s="22">
        <v>-0.38709677419354838</v>
      </c>
      <c r="G22" s="20">
        <v>0.32258064516129031</v>
      </c>
      <c r="H22" s="22">
        <v>-3.2258064516129031E-2</v>
      </c>
      <c r="I22" s="20">
        <v>0.19354838709677419</v>
      </c>
      <c r="J22" s="22">
        <v>0</v>
      </c>
      <c r="K22" s="22">
        <v>62.875</v>
      </c>
      <c r="L22" s="24" t="s">
        <v>157</v>
      </c>
      <c r="M22" s="27">
        <v>47.5</v>
      </c>
      <c r="N22" s="18" t="s">
        <v>147</v>
      </c>
      <c r="O22" s="18" t="s">
        <v>146</v>
      </c>
      <c r="P22" s="16"/>
      <c r="Q22" s="16"/>
      <c r="R22" s="16"/>
      <c r="S22" s="16"/>
      <c r="T22" s="16"/>
      <c r="U22" s="16"/>
      <c r="V22" s="16"/>
      <c r="W22" s="35"/>
    </row>
    <row r="23" spans="1:23" x14ac:dyDescent="0.2">
      <c r="A23" s="16" t="s">
        <v>48</v>
      </c>
      <c r="B23" s="36">
        <v>8</v>
      </c>
      <c r="C23" s="23" t="s">
        <v>50</v>
      </c>
      <c r="D23" s="20">
        <v>-0.35483870967741937</v>
      </c>
      <c r="E23" s="17">
        <v>-0.93548387096774188</v>
      </c>
      <c r="F23" s="22">
        <v>9.6774193548387094E-2</v>
      </c>
      <c r="G23" s="20">
        <v>-0.32258064516129031</v>
      </c>
      <c r="H23" s="22">
        <v>0.32258064516129031</v>
      </c>
      <c r="I23" s="20">
        <v>-0.58064516129032262</v>
      </c>
      <c r="J23" s="22">
        <v>-0.12903225806451613</v>
      </c>
      <c r="K23" s="22">
        <v>63.625</v>
      </c>
      <c r="L23" s="24" t="s">
        <v>90</v>
      </c>
      <c r="M23" s="27">
        <v>41</v>
      </c>
      <c r="N23" s="18" t="s">
        <v>146</v>
      </c>
      <c r="O23" s="18" t="s">
        <v>146</v>
      </c>
      <c r="P23" s="16"/>
      <c r="Q23" s="16"/>
      <c r="R23" s="16"/>
      <c r="S23" s="16"/>
      <c r="T23" s="16"/>
      <c r="U23" s="16"/>
      <c r="V23" s="16"/>
      <c r="W23" s="35"/>
    </row>
    <row r="24" spans="1:23" x14ac:dyDescent="0.2">
      <c r="A24" s="16" t="s">
        <v>50</v>
      </c>
      <c r="B24" s="36">
        <v>8</v>
      </c>
      <c r="C24" s="23" t="s">
        <v>48</v>
      </c>
      <c r="D24" s="20">
        <v>-0.25806451612903225</v>
      </c>
      <c r="E24" s="17">
        <v>0.12903225806451613</v>
      </c>
      <c r="F24" s="22">
        <v>-0.29032258064516131</v>
      </c>
      <c r="G24" s="20">
        <v>-6.4516129032258063E-2</v>
      </c>
      <c r="H24" s="22">
        <v>-0.16129032258064516</v>
      </c>
      <c r="I24" s="20">
        <v>-0.32258064516129031</v>
      </c>
      <c r="J24" s="22">
        <v>3.2258064516129031E-2</v>
      </c>
      <c r="K24" s="22">
        <v>63.625</v>
      </c>
      <c r="L24" s="24" t="s">
        <v>81</v>
      </c>
      <c r="M24" s="27">
        <v>41</v>
      </c>
      <c r="N24" s="18" t="s">
        <v>146</v>
      </c>
      <c r="O24" s="18" t="s">
        <v>146</v>
      </c>
      <c r="P24" s="16"/>
      <c r="Q24" s="16"/>
      <c r="R24" s="16"/>
      <c r="S24" s="16"/>
      <c r="T24" s="16"/>
      <c r="U24" s="16"/>
      <c r="V24" s="16"/>
      <c r="W24" s="35"/>
    </row>
    <row r="25" spans="1:23" x14ac:dyDescent="0.2">
      <c r="A25" s="16" t="s">
        <v>51</v>
      </c>
      <c r="B25" s="36">
        <v>7</v>
      </c>
      <c r="C25" s="23" t="s">
        <v>42</v>
      </c>
      <c r="D25" s="20">
        <v>0.19354838709677419</v>
      </c>
      <c r="E25" s="17">
        <v>0.58064516129032262</v>
      </c>
      <c r="F25" s="22">
        <v>0.29032258064516131</v>
      </c>
      <c r="G25" s="20">
        <v>-0.32258064516129031</v>
      </c>
      <c r="H25" s="22">
        <v>9.6774193548387094E-2</v>
      </c>
      <c r="I25" s="20">
        <v>0</v>
      </c>
      <c r="J25" s="22">
        <v>0.22580645161290322</v>
      </c>
      <c r="K25" s="22">
        <v>61.982142857142861</v>
      </c>
      <c r="L25" s="24" t="s">
        <v>81</v>
      </c>
      <c r="M25" s="27">
        <v>46</v>
      </c>
      <c r="N25" s="18" t="s">
        <v>146</v>
      </c>
      <c r="O25" s="18" t="s">
        <v>146</v>
      </c>
      <c r="P25" s="16"/>
      <c r="Q25" s="16"/>
      <c r="R25" s="16"/>
      <c r="S25" s="16"/>
      <c r="T25" s="16"/>
      <c r="U25" s="16"/>
      <c r="V25" s="16"/>
      <c r="W25" s="35"/>
    </row>
    <row r="26" spans="1:23" x14ac:dyDescent="0.2">
      <c r="A26" s="16" t="s">
        <v>53</v>
      </c>
      <c r="B26" s="36">
        <v>8</v>
      </c>
      <c r="C26" s="23" t="s">
        <v>61</v>
      </c>
      <c r="D26" s="20">
        <v>0.38709677419354838</v>
      </c>
      <c r="E26" s="17">
        <v>0</v>
      </c>
      <c r="F26" s="22">
        <v>0.29032258064516131</v>
      </c>
      <c r="G26" s="20">
        <v>6.4516129032258063E-2</v>
      </c>
      <c r="H26" s="22">
        <v>-0.22580645161290322</v>
      </c>
      <c r="I26" s="20">
        <v>0.41935483870967744</v>
      </c>
      <c r="J26" s="22">
        <v>0.12903225806451613</v>
      </c>
      <c r="K26" s="22">
        <v>63.375</v>
      </c>
      <c r="L26" s="24" t="s">
        <v>160</v>
      </c>
      <c r="M26" s="27">
        <v>53.5</v>
      </c>
      <c r="N26" s="18" t="s">
        <v>146</v>
      </c>
      <c r="O26" s="18" t="s">
        <v>146</v>
      </c>
      <c r="P26" s="16"/>
      <c r="Q26" s="16"/>
      <c r="R26" s="16"/>
      <c r="S26" s="16"/>
      <c r="T26" s="16"/>
      <c r="U26" s="16"/>
      <c r="V26" s="16"/>
      <c r="W26" s="35"/>
    </row>
    <row r="27" spans="1:23" x14ac:dyDescent="0.2">
      <c r="A27" s="16" t="s">
        <v>54</v>
      </c>
      <c r="B27" s="36">
        <v>7</v>
      </c>
      <c r="C27" s="23" t="s">
        <v>62</v>
      </c>
      <c r="D27" s="20">
        <v>0.45161290322580644</v>
      </c>
      <c r="E27" s="17">
        <v>-0.58064516129032262</v>
      </c>
      <c r="F27" s="22">
        <v>-9.6774193548387094E-2</v>
      </c>
      <c r="G27" s="20">
        <v>0.74193548387096775</v>
      </c>
      <c r="H27" s="22">
        <v>0.35483870967741937</v>
      </c>
      <c r="I27" s="20">
        <v>-0.25806451612903225</v>
      </c>
      <c r="J27" s="22">
        <v>0.22580645161290322</v>
      </c>
      <c r="K27" s="22">
        <v>65.714285714285722</v>
      </c>
      <c r="L27" s="24" t="s">
        <v>237</v>
      </c>
      <c r="M27" s="27">
        <v>50</v>
      </c>
      <c r="N27" s="18" t="s">
        <v>146</v>
      </c>
      <c r="O27" s="18" t="s">
        <v>146</v>
      </c>
      <c r="P27" s="16"/>
      <c r="Q27" s="16"/>
      <c r="R27" s="16"/>
      <c r="S27" s="16"/>
      <c r="T27" s="16"/>
      <c r="U27" s="16"/>
      <c r="V27" s="16"/>
      <c r="W27" s="35"/>
    </row>
    <row r="28" spans="1:23" x14ac:dyDescent="0.2">
      <c r="A28" s="16" t="s">
        <v>55</v>
      </c>
      <c r="B28" s="36">
        <v>7</v>
      </c>
      <c r="C28" s="23" t="s">
        <v>39</v>
      </c>
      <c r="D28" s="20">
        <v>-0.25806451612903225</v>
      </c>
      <c r="E28" s="17">
        <v>-6.4516129032258063E-2</v>
      </c>
      <c r="F28" s="22">
        <v>-0.54838709677419351</v>
      </c>
      <c r="G28" s="20">
        <v>-3.2258064516129031E-2</v>
      </c>
      <c r="H28" s="22">
        <v>0.67741935483870963</v>
      </c>
      <c r="I28" s="20">
        <v>0.22580645161290322</v>
      </c>
      <c r="J28" s="22">
        <v>-0.19354838709677419</v>
      </c>
      <c r="K28" s="22">
        <v>60.857142857142854</v>
      </c>
      <c r="L28" s="24" t="s">
        <v>85</v>
      </c>
      <c r="M28" s="27">
        <v>41.5</v>
      </c>
      <c r="N28" s="18" t="s">
        <v>146</v>
      </c>
      <c r="O28" s="18" t="s">
        <v>146</v>
      </c>
      <c r="P28" s="16"/>
      <c r="Q28" s="16"/>
      <c r="R28" s="16"/>
      <c r="S28" s="16"/>
      <c r="T28" s="16"/>
      <c r="U28" s="16"/>
      <c r="V28" s="16"/>
      <c r="W28" s="35"/>
    </row>
    <row r="29" spans="1:23" x14ac:dyDescent="0.2">
      <c r="A29" s="16" t="s">
        <v>56</v>
      </c>
      <c r="B29" s="36">
        <v>8</v>
      </c>
      <c r="C29" s="23"/>
      <c r="D29" s="20" t="s">
        <v>146</v>
      </c>
      <c r="E29" s="17" t="s">
        <v>146</v>
      </c>
      <c r="F29" s="22" t="s">
        <v>146</v>
      </c>
      <c r="G29" s="20" t="s">
        <v>146</v>
      </c>
      <c r="H29" s="22" t="s">
        <v>146</v>
      </c>
      <c r="I29" s="20" t="s">
        <v>146</v>
      </c>
      <c r="J29" s="22" t="s">
        <v>146</v>
      </c>
      <c r="K29" s="22" t="s">
        <v>146</v>
      </c>
      <c r="L29" s="24"/>
      <c r="M29" s="27"/>
      <c r="N29" s="18" t="s">
        <v>146</v>
      </c>
      <c r="O29" s="18" t="s">
        <v>146</v>
      </c>
      <c r="P29" s="16"/>
      <c r="Q29" s="16"/>
      <c r="R29" s="16"/>
      <c r="S29" s="16"/>
      <c r="T29" s="16"/>
      <c r="U29" s="16"/>
      <c r="V29" s="16"/>
      <c r="W29" s="35"/>
    </row>
    <row r="30" spans="1:23" x14ac:dyDescent="0.2">
      <c r="A30" s="16" t="s">
        <v>58</v>
      </c>
      <c r="B30" s="36">
        <v>7</v>
      </c>
      <c r="C30" s="23" t="s">
        <v>18</v>
      </c>
      <c r="D30" s="20">
        <v>0</v>
      </c>
      <c r="E30" s="17">
        <v>-0.29032258064516131</v>
      </c>
      <c r="F30" s="22">
        <v>-0.19354838709677419</v>
      </c>
      <c r="G30" s="20">
        <v>-9.6774193548387094E-2</v>
      </c>
      <c r="H30" s="22">
        <v>-0.12903225806451613</v>
      </c>
      <c r="I30" s="20">
        <v>-0.35483870967741937</v>
      </c>
      <c r="J30" s="22">
        <v>-0.19354838709677419</v>
      </c>
      <c r="K30" s="22">
        <v>58.928571428571431</v>
      </c>
      <c r="L30" s="24" t="s">
        <v>237</v>
      </c>
      <c r="M30" s="27">
        <v>40</v>
      </c>
      <c r="N30" s="18" t="s">
        <v>146</v>
      </c>
      <c r="O30" s="18" t="s">
        <v>146</v>
      </c>
      <c r="P30" s="16"/>
      <c r="Q30" s="16"/>
      <c r="R30" s="16"/>
      <c r="S30" s="16"/>
      <c r="T30" s="16"/>
      <c r="U30" s="16"/>
      <c r="V30" s="16"/>
      <c r="W30" s="35"/>
    </row>
    <row r="31" spans="1:23" x14ac:dyDescent="0.2">
      <c r="A31" s="16" t="s">
        <v>59</v>
      </c>
      <c r="B31" s="36">
        <v>8</v>
      </c>
      <c r="C31" s="23" t="s">
        <v>37</v>
      </c>
      <c r="D31" s="20">
        <v>0</v>
      </c>
      <c r="E31" s="17">
        <v>0.16129032258064516</v>
      </c>
      <c r="F31" s="22">
        <v>3.2258064516129031E-2</v>
      </c>
      <c r="G31" s="20">
        <v>-0.4838709677419355</v>
      </c>
      <c r="H31" s="22">
        <v>-0.22580645161290322</v>
      </c>
      <c r="I31" s="20">
        <v>-0.16129032258064516</v>
      </c>
      <c r="J31" s="22">
        <v>-0.19354838709677419</v>
      </c>
      <c r="K31" s="22">
        <v>57.6875</v>
      </c>
      <c r="L31" s="24" t="s">
        <v>97</v>
      </c>
      <c r="M31" s="27">
        <v>46.5</v>
      </c>
      <c r="N31" s="18" t="s">
        <v>146</v>
      </c>
      <c r="O31" s="18" t="s">
        <v>146</v>
      </c>
      <c r="P31" s="16"/>
      <c r="Q31" s="16"/>
      <c r="R31" s="16"/>
      <c r="S31" s="16"/>
      <c r="T31" s="16"/>
      <c r="U31" s="16"/>
      <c r="V31" s="16"/>
      <c r="W31" s="35"/>
    </row>
    <row r="32" spans="1:23" x14ac:dyDescent="0.2">
      <c r="A32" s="16" t="s">
        <v>61</v>
      </c>
      <c r="B32" s="36">
        <v>8</v>
      </c>
      <c r="C32" s="23" t="s">
        <v>53</v>
      </c>
      <c r="D32" s="20">
        <v>6.4516129032258063E-2</v>
      </c>
      <c r="E32" s="17">
        <v>0.19354838709677419</v>
      </c>
      <c r="F32" s="22">
        <v>0.25806451612903225</v>
      </c>
      <c r="G32" s="20">
        <v>0.25806451612903225</v>
      </c>
      <c r="H32" s="22">
        <v>0.19354838709677419</v>
      </c>
      <c r="I32" s="20">
        <v>-0.29032258064516131</v>
      </c>
      <c r="J32" s="22">
        <v>0.5161290322580645</v>
      </c>
      <c r="K32" s="22">
        <v>63.375</v>
      </c>
      <c r="L32" s="24" t="s">
        <v>157</v>
      </c>
      <c r="M32" s="27">
        <v>53.5</v>
      </c>
      <c r="N32" s="18" t="s">
        <v>146</v>
      </c>
      <c r="O32" s="18" t="s">
        <v>146</v>
      </c>
      <c r="P32" s="16"/>
      <c r="Q32" s="16"/>
      <c r="R32" s="16"/>
      <c r="S32" s="16"/>
      <c r="T32" s="16"/>
      <c r="U32" s="16"/>
      <c r="V32" s="16"/>
      <c r="W32" s="35"/>
    </row>
    <row r="33" spans="1:23" x14ac:dyDescent="0.2">
      <c r="A33" s="16" t="s">
        <v>62</v>
      </c>
      <c r="B33" s="36">
        <v>7</v>
      </c>
      <c r="C33" s="23" t="s">
        <v>54</v>
      </c>
      <c r="D33" s="20">
        <v>0.32258064516129031</v>
      </c>
      <c r="E33" s="17">
        <v>0.12903225806451613</v>
      </c>
      <c r="F33" s="22">
        <v>0.64516129032258063</v>
      </c>
      <c r="G33" s="20">
        <v>-3.2258064516129031E-2</v>
      </c>
      <c r="H33" s="22">
        <v>-0.25806451612903225</v>
      </c>
      <c r="I33" s="20">
        <v>3.2258064516129031E-2</v>
      </c>
      <c r="J33" s="22">
        <v>-0.25806451612903225</v>
      </c>
      <c r="K33" s="22">
        <v>65.714285714285722</v>
      </c>
      <c r="L33" s="24" t="s">
        <v>238</v>
      </c>
      <c r="M33" s="27">
        <v>50</v>
      </c>
      <c r="N33" s="18" t="s">
        <v>146</v>
      </c>
      <c r="O33" s="18" t="s">
        <v>146</v>
      </c>
      <c r="P33" s="16"/>
      <c r="Q33" s="16"/>
      <c r="R33" s="16"/>
      <c r="S33" s="16"/>
      <c r="T33" s="16"/>
      <c r="U33" s="16"/>
      <c r="V33" s="16"/>
      <c r="W33" s="35"/>
    </row>
  </sheetData>
  <conditionalFormatting sqref="D2:D3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33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12 M20:M33 M14:M18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9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E66E6-CC5D-1E4B-A35B-C490874142E3}">
  <sheetPr codeName="Sheet16"/>
  <dimension ref="A1:W33"/>
  <sheetViews>
    <sheetView workbookViewId="0">
      <selection sqref="A1:XFD1048576"/>
    </sheetView>
  </sheetViews>
  <sheetFormatPr baseColWidth="10" defaultRowHeight="16" x14ac:dyDescent="0.2"/>
  <cols>
    <col min="1" max="1" width="16.83203125" customWidth="1"/>
    <col min="2" max="2" width="5.6640625" bestFit="1" customWidth="1"/>
    <col min="3" max="3" width="16.83203125" bestFit="1" customWidth="1"/>
    <col min="4" max="11" width="14.83203125" customWidth="1"/>
    <col min="12" max="13" width="8.83203125" customWidth="1"/>
    <col min="14" max="15" width="16.83203125" style="5" customWidth="1"/>
    <col min="16" max="16" width="25.83203125" style="5" customWidth="1"/>
    <col min="17" max="17" width="7.33203125" style="5" bestFit="1" customWidth="1"/>
    <col min="18" max="18" width="25.83203125" style="5" customWidth="1"/>
    <col min="19" max="19" width="7.33203125" style="5" bestFit="1" customWidth="1"/>
    <col min="20" max="20" width="25.83203125" style="5" customWidth="1"/>
    <col min="21" max="21" width="7.33203125" style="5" bestFit="1" customWidth="1"/>
    <col min="22" max="22" width="43.33203125" style="5" bestFit="1" customWidth="1"/>
  </cols>
  <sheetData>
    <row r="1" spans="1:23" s="12" customFormat="1" ht="19" x14ac:dyDescent="0.25">
      <c r="A1" s="15" t="s">
        <v>77</v>
      </c>
      <c r="B1" s="25" t="s">
        <v>173</v>
      </c>
      <c r="C1" s="21" t="s">
        <v>78</v>
      </c>
      <c r="D1" s="19" t="s">
        <v>112</v>
      </c>
      <c r="E1" s="15" t="s">
        <v>114</v>
      </c>
      <c r="F1" s="21" t="s">
        <v>115</v>
      </c>
      <c r="G1" s="19" t="s">
        <v>113</v>
      </c>
      <c r="H1" s="21" t="s">
        <v>116</v>
      </c>
      <c r="I1" s="19" t="s">
        <v>119</v>
      </c>
      <c r="J1" s="21" t="s">
        <v>118</v>
      </c>
      <c r="K1" s="21" t="s">
        <v>172</v>
      </c>
      <c r="L1" s="19" t="s">
        <v>83</v>
      </c>
      <c r="M1" s="19" t="s">
        <v>185</v>
      </c>
      <c r="N1" s="15" t="s">
        <v>117</v>
      </c>
      <c r="O1" s="15" t="s">
        <v>64</v>
      </c>
      <c r="P1" s="15" t="s">
        <v>223</v>
      </c>
      <c r="Q1" s="15" t="s">
        <v>226</v>
      </c>
      <c r="R1" s="15" t="s">
        <v>224</v>
      </c>
      <c r="S1" s="15" t="s">
        <v>226</v>
      </c>
      <c r="T1" s="15" t="s">
        <v>225</v>
      </c>
      <c r="U1" s="15" t="s">
        <v>226</v>
      </c>
      <c r="V1" s="15" t="s">
        <v>120</v>
      </c>
      <c r="W1" s="34"/>
    </row>
    <row r="2" spans="1:23" x14ac:dyDescent="0.2">
      <c r="A2" s="16" t="s">
        <v>16</v>
      </c>
      <c r="B2" s="36">
        <v>8</v>
      </c>
      <c r="C2" s="23" t="s">
        <v>53</v>
      </c>
      <c r="D2" s="20">
        <v>-3.2258064516129031E-2</v>
      </c>
      <c r="E2" s="17">
        <v>-9.6774193548387094E-2</v>
      </c>
      <c r="F2" s="22">
        <v>0.12903225806451613</v>
      </c>
      <c r="G2" s="20">
        <v>-9.6774193548387094E-2</v>
      </c>
      <c r="H2" s="22">
        <v>-0.22580645161290322</v>
      </c>
      <c r="I2" s="20">
        <v>-0.29032258064516131</v>
      </c>
      <c r="J2" s="22">
        <v>0.54838709677419351</v>
      </c>
      <c r="K2" s="22">
        <v>60.125</v>
      </c>
      <c r="L2" s="24" t="s">
        <v>90</v>
      </c>
      <c r="M2" s="27">
        <v>48.5</v>
      </c>
      <c r="N2" s="18" t="s">
        <v>146</v>
      </c>
      <c r="O2" s="18" t="s">
        <v>146</v>
      </c>
      <c r="P2" s="16"/>
      <c r="Q2" s="16"/>
      <c r="R2" s="16"/>
      <c r="S2" s="16"/>
      <c r="T2" s="16"/>
      <c r="U2" s="16"/>
      <c r="V2" s="16"/>
      <c r="W2" s="35"/>
    </row>
    <row r="3" spans="1:23" x14ac:dyDescent="0.2">
      <c r="A3" s="16" t="s">
        <v>18</v>
      </c>
      <c r="B3" s="36">
        <v>9</v>
      </c>
      <c r="C3" s="23"/>
      <c r="D3" s="20" t="s">
        <v>146</v>
      </c>
      <c r="E3" s="17" t="s">
        <v>146</v>
      </c>
      <c r="F3" s="22" t="s">
        <v>146</v>
      </c>
      <c r="G3" s="20" t="s">
        <v>146</v>
      </c>
      <c r="H3" s="22" t="s">
        <v>146</v>
      </c>
      <c r="I3" s="20" t="s">
        <v>146</v>
      </c>
      <c r="J3" s="22" t="s">
        <v>146</v>
      </c>
      <c r="K3" s="22" t="s">
        <v>146</v>
      </c>
      <c r="L3" s="24"/>
      <c r="M3" s="27"/>
      <c r="N3" s="18" t="s">
        <v>146</v>
      </c>
      <c r="O3" s="18" t="s">
        <v>146</v>
      </c>
      <c r="P3" s="16"/>
      <c r="Q3" s="16"/>
      <c r="R3" s="16"/>
      <c r="S3" s="16"/>
      <c r="T3" s="16"/>
      <c r="U3" s="16"/>
      <c r="V3" s="16"/>
      <c r="W3" s="35"/>
    </row>
    <row r="4" spans="1:23" x14ac:dyDescent="0.2">
      <c r="A4" s="16" t="s">
        <v>19</v>
      </c>
      <c r="B4" s="36">
        <v>9</v>
      </c>
      <c r="C4" s="23"/>
      <c r="D4" s="20" t="s">
        <v>146</v>
      </c>
      <c r="E4" s="17" t="s">
        <v>146</v>
      </c>
      <c r="F4" s="22" t="s">
        <v>146</v>
      </c>
      <c r="G4" s="20" t="s">
        <v>146</v>
      </c>
      <c r="H4" s="22" t="s">
        <v>146</v>
      </c>
      <c r="I4" s="20" t="s">
        <v>146</v>
      </c>
      <c r="J4" s="22" t="s">
        <v>146</v>
      </c>
      <c r="K4" s="22" t="s">
        <v>146</v>
      </c>
      <c r="L4" s="24"/>
      <c r="M4" s="27"/>
      <c r="N4" s="18" t="s">
        <v>146</v>
      </c>
      <c r="O4" s="18" t="s">
        <v>146</v>
      </c>
      <c r="P4" s="16"/>
      <c r="Q4" s="16"/>
      <c r="R4" s="16"/>
      <c r="S4" s="16"/>
      <c r="T4" s="16"/>
      <c r="U4" s="16"/>
      <c r="V4" s="16"/>
      <c r="W4" s="35"/>
    </row>
    <row r="5" spans="1:23" x14ac:dyDescent="0.2">
      <c r="A5" s="16" t="s">
        <v>21</v>
      </c>
      <c r="B5" s="36">
        <v>8</v>
      </c>
      <c r="C5" s="23" t="s">
        <v>45</v>
      </c>
      <c r="D5" s="20">
        <v>0.16129032258064516</v>
      </c>
      <c r="E5" s="17">
        <v>0.38709677419354838</v>
      </c>
      <c r="F5" s="22">
        <v>0.58064516129032262</v>
      </c>
      <c r="G5" s="20">
        <v>0.4838709677419355</v>
      </c>
      <c r="H5" s="22">
        <v>0.41935483870967744</v>
      </c>
      <c r="I5" s="20">
        <v>0.19354838709677419</v>
      </c>
      <c r="J5" s="22">
        <v>0.74193548387096775</v>
      </c>
      <c r="K5" s="22">
        <v>63.8125</v>
      </c>
      <c r="L5" s="24" t="s">
        <v>245</v>
      </c>
      <c r="M5" s="27">
        <v>47.5</v>
      </c>
      <c r="N5" s="18" t="s">
        <v>146</v>
      </c>
      <c r="O5" s="18" t="s">
        <v>146</v>
      </c>
      <c r="P5" s="16"/>
      <c r="Q5" s="16"/>
      <c r="R5" s="16"/>
      <c r="S5" s="16"/>
      <c r="T5" s="16"/>
      <c r="U5" s="16"/>
      <c r="V5" s="16"/>
      <c r="W5" s="35"/>
    </row>
    <row r="6" spans="1:23" x14ac:dyDescent="0.2">
      <c r="A6" s="16" t="s">
        <v>22</v>
      </c>
      <c r="B6" s="36">
        <v>9</v>
      </c>
      <c r="C6" s="23" t="s">
        <v>38</v>
      </c>
      <c r="D6" s="20">
        <v>0.19354838709677419</v>
      </c>
      <c r="E6" s="17">
        <v>0.93548387096774188</v>
      </c>
      <c r="F6" s="22">
        <v>-0.32258064516129031</v>
      </c>
      <c r="G6" s="20">
        <v>-0.16129032258064516</v>
      </c>
      <c r="H6" s="22">
        <v>0.32258064516129031</v>
      </c>
      <c r="I6" s="20">
        <v>-3.2258064516129031E-2</v>
      </c>
      <c r="J6" s="22">
        <v>-3.2258064516129031E-2</v>
      </c>
      <c r="K6" s="22">
        <v>58.888888888888893</v>
      </c>
      <c r="L6" s="24" t="s">
        <v>84</v>
      </c>
      <c r="M6" s="27">
        <v>44</v>
      </c>
      <c r="N6" s="18" t="s">
        <v>146</v>
      </c>
      <c r="O6" s="18" t="s">
        <v>146</v>
      </c>
      <c r="P6" s="16"/>
      <c r="Q6" s="16"/>
      <c r="R6" s="16"/>
      <c r="S6" s="16"/>
      <c r="T6" s="16"/>
      <c r="U6" s="16"/>
      <c r="V6" s="16"/>
      <c r="W6" s="35"/>
    </row>
    <row r="7" spans="1:23" x14ac:dyDescent="0.2">
      <c r="A7" s="16" t="s">
        <v>23</v>
      </c>
      <c r="B7" s="36">
        <v>9</v>
      </c>
      <c r="C7" s="23" t="s">
        <v>50</v>
      </c>
      <c r="D7" s="20">
        <v>9.6774193548387094E-2</v>
      </c>
      <c r="E7" s="17">
        <v>-0.35483870967741937</v>
      </c>
      <c r="F7" s="22">
        <v>-0.38709677419354838</v>
      </c>
      <c r="G7" s="20">
        <v>0.25806451612903225</v>
      </c>
      <c r="H7" s="22">
        <v>0.41935483870967744</v>
      </c>
      <c r="I7" s="20">
        <v>-0.4838709677419355</v>
      </c>
      <c r="J7" s="22">
        <v>0.12903225806451613</v>
      </c>
      <c r="K7" s="22">
        <v>60.388888888888886</v>
      </c>
      <c r="L7" s="24" t="s">
        <v>92</v>
      </c>
      <c r="M7" s="27">
        <v>44.5</v>
      </c>
      <c r="N7" s="18" t="s">
        <v>146</v>
      </c>
      <c r="O7" s="18" t="s">
        <v>146</v>
      </c>
      <c r="P7" s="16"/>
      <c r="Q7" s="16"/>
      <c r="R7" s="16"/>
      <c r="S7" s="16"/>
      <c r="T7" s="16"/>
      <c r="U7" s="16"/>
      <c r="V7" s="16"/>
      <c r="W7" s="35"/>
    </row>
    <row r="8" spans="1:23" x14ac:dyDescent="0.2">
      <c r="A8" s="16" t="s">
        <v>25</v>
      </c>
      <c r="B8" s="36">
        <v>8</v>
      </c>
      <c r="C8" s="23" t="s">
        <v>40</v>
      </c>
      <c r="D8" s="20">
        <v>0.45161290322580644</v>
      </c>
      <c r="E8" s="17">
        <v>0.35483870967741937</v>
      </c>
      <c r="F8" s="22">
        <v>0.80645161290322576</v>
      </c>
      <c r="G8" s="20">
        <v>-0.29032258064516131</v>
      </c>
      <c r="H8" s="22">
        <v>-0.5161290322580645</v>
      </c>
      <c r="I8" s="20">
        <v>0.61290322580645162</v>
      </c>
      <c r="J8" s="22">
        <v>-6.4516129032258063E-2</v>
      </c>
      <c r="K8" s="22">
        <v>63.5</v>
      </c>
      <c r="L8" s="24" t="s">
        <v>93</v>
      </c>
      <c r="M8" s="27">
        <v>51.5</v>
      </c>
      <c r="N8" s="18" t="s">
        <v>146</v>
      </c>
      <c r="O8" s="18" t="s">
        <v>146</v>
      </c>
      <c r="P8" s="16"/>
      <c r="Q8" s="16"/>
      <c r="R8" s="16"/>
      <c r="S8" s="16"/>
      <c r="T8" s="16"/>
      <c r="U8" s="16"/>
      <c r="V8" s="16"/>
      <c r="W8" s="35"/>
    </row>
    <row r="9" spans="1:23" x14ac:dyDescent="0.2">
      <c r="A9" s="16" t="s">
        <v>27</v>
      </c>
      <c r="B9" s="36">
        <v>9</v>
      </c>
      <c r="C9" s="23" t="s">
        <v>48</v>
      </c>
      <c r="D9" s="20">
        <v>9.6774193548387094E-2</v>
      </c>
      <c r="E9" s="17">
        <v>0.25806451612903225</v>
      </c>
      <c r="F9" s="22">
        <v>-0.77419354838709675</v>
      </c>
      <c r="G9" s="20">
        <v>-9.6774193548387094E-2</v>
      </c>
      <c r="H9" s="22">
        <v>0.38709677419354838</v>
      </c>
      <c r="I9" s="20">
        <v>0.12903225806451613</v>
      </c>
      <c r="J9" s="22">
        <v>0.25806451612903225</v>
      </c>
      <c r="K9" s="22">
        <v>63.611111111111107</v>
      </c>
      <c r="L9" s="24" t="s">
        <v>93</v>
      </c>
      <c r="M9" s="27">
        <v>44</v>
      </c>
      <c r="N9" s="18" t="s">
        <v>146</v>
      </c>
      <c r="O9" s="18" t="s">
        <v>146</v>
      </c>
      <c r="P9" s="16"/>
      <c r="Q9" s="16"/>
      <c r="R9" s="16"/>
      <c r="S9" s="16"/>
      <c r="T9" s="16"/>
      <c r="U9" s="16"/>
      <c r="V9" s="16"/>
      <c r="W9" s="35"/>
    </row>
    <row r="10" spans="1:23" x14ac:dyDescent="0.2">
      <c r="A10" s="16" t="s">
        <v>29</v>
      </c>
      <c r="B10" s="36">
        <v>8</v>
      </c>
      <c r="C10" s="23" t="s">
        <v>62</v>
      </c>
      <c r="D10" s="20">
        <v>0.19354838709677419</v>
      </c>
      <c r="E10" s="17">
        <v>-0.32258064516129031</v>
      </c>
      <c r="F10" s="22">
        <v>0.5161290322580645</v>
      </c>
      <c r="G10" s="20">
        <v>0.5161290322580645</v>
      </c>
      <c r="H10" s="22">
        <v>-9.6774193548387094E-2</v>
      </c>
      <c r="I10" s="20">
        <v>0.22580645161290322</v>
      </c>
      <c r="J10" s="22">
        <v>-6.4516129032258063E-2</v>
      </c>
      <c r="K10" s="22">
        <v>64.25</v>
      </c>
      <c r="L10" s="24" t="s">
        <v>156</v>
      </c>
      <c r="M10" s="27">
        <v>52</v>
      </c>
      <c r="N10" s="18" t="s">
        <v>146</v>
      </c>
      <c r="O10" s="18" t="s">
        <v>147</v>
      </c>
      <c r="P10" s="16"/>
      <c r="Q10" s="16"/>
      <c r="R10" s="16"/>
      <c r="S10" s="16"/>
      <c r="T10" s="16"/>
      <c r="U10" s="16"/>
      <c r="V10" s="16"/>
      <c r="W10" s="35"/>
    </row>
    <row r="11" spans="1:23" x14ac:dyDescent="0.2">
      <c r="A11" s="16" t="s">
        <v>31</v>
      </c>
      <c r="B11" s="36">
        <v>9</v>
      </c>
      <c r="C11" s="23" t="s">
        <v>51</v>
      </c>
      <c r="D11" s="20">
        <v>-0.70967741935483875</v>
      </c>
      <c r="E11" s="17">
        <v>-9.6774193548387094E-2</v>
      </c>
      <c r="F11" s="22">
        <v>0.54838709677419351</v>
      </c>
      <c r="G11" s="20">
        <v>0.64516129032258063</v>
      </c>
      <c r="H11" s="22">
        <v>6.4516129032258063E-2</v>
      </c>
      <c r="I11" s="20">
        <v>0.19354838709677419</v>
      </c>
      <c r="J11" s="22">
        <v>-0.16129032258064516</v>
      </c>
      <c r="K11" s="22">
        <v>64.729166666666657</v>
      </c>
      <c r="L11" s="24" t="s">
        <v>156</v>
      </c>
      <c r="M11" s="27">
        <v>51.5</v>
      </c>
      <c r="N11" s="18" t="s">
        <v>148</v>
      </c>
      <c r="O11" s="18" t="s">
        <v>147</v>
      </c>
      <c r="P11" s="16"/>
      <c r="Q11" s="16"/>
      <c r="R11" s="16"/>
      <c r="S11" s="16"/>
      <c r="T11" s="16"/>
      <c r="U11" s="16"/>
      <c r="V11" s="16"/>
      <c r="W11" s="35"/>
    </row>
    <row r="12" spans="1:23" x14ac:dyDescent="0.2">
      <c r="A12" s="16" t="s">
        <v>33</v>
      </c>
      <c r="B12" s="36">
        <v>9</v>
      </c>
      <c r="C12" s="23" t="s">
        <v>44</v>
      </c>
      <c r="D12" s="20">
        <v>0.5161290322580645</v>
      </c>
      <c r="E12" s="17">
        <v>0.19354838709677419</v>
      </c>
      <c r="F12" s="22">
        <v>-0.25806451612903225</v>
      </c>
      <c r="G12" s="20">
        <v>3.2258064516129031E-2</v>
      </c>
      <c r="H12" s="22">
        <v>0.22580645161290322</v>
      </c>
      <c r="I12" s="20">
        <v>-3.2258064516129031E-2</v>
      </c>
      <c r="J12" s="22">
        <v>0.64516129032258063</v>
      </c>
      <c r="K12" s="22">
        <v>60.701388888888886</v>
      </c>
      <c r="L12" s="24" t="s">
        <v>227</v>
      </c>
      <c r="M12" s="27">
        <v>47.5</v>
      </c>
      <c r="N12" s="18" t="s">
        <v>146</v>
      </c>
      <c r="O12" s="18" t="s">
        <v>146</v>
      </c>
      <c r="P12" s="16"/>
      <c r="Q12" s="16"/>
      <c r="R12" s="16"/>
      <c r="S12" s="16"/>
      <c r="T12" s="16"/>
      <c r="U12" s="16"/>
      <c r="V12" s="16"/>
      <c r="W12" s="35"/>
    </row>
    <row r="13" spans="1:23" x14ac:dyDescent="0.2">
      <c r="A13" s="16" t="s">
        <v>35</v>
      </c>
      <c r="B13" s="36">
        <v>8</v>
      </c>
      <c r="C13" s="23" t="s">
        <v>39</v>
      </c>
      <c r="D13" s="20">
        <v>0.29032258064516131</v>
      </c>
      <c r="E13" s="17">
        <v>0.58064516129032262</v>
      </c>
      <c r="F13" s="22">
        <v>0.12903225806451613</v>
      </c>
      <c r="G13" s="20">
        <v>0.45161290322580644</v>
      </c>
      <c r="H13" s="22">
        <v>0.5161290322580645</v>
      </c>
      <c r="I13" s="20">
        <v>0.45161290322580644</v>
      </c>
      <c r="J13" s="22">
        <v>-0.29032258064516131</v>
      </c>
      <c r="K13" s="22">
        <v>64.0625</v>
      </c>
      <c r="L13" s="24" t="s">
        <v>247</v>
      </c>
      <c r="M13" s="27">
        <v>55</v>
      </c>
      <c r="N13" s="18" t="s">
        <v>146</v>
      </c>
      <c r="O13" s="18" t="s">
        <v>146</v>
      </c>
      <c r="P13" s="16"/>
      <c r="Q13" s="16"/>
      <c r="R13" s="16"/>
      <c r="S13" s="16"/>
      <c r="T13" s="16"/>
      <c r="U13" s="16"/>
      <c r="V13" s="16"/>
      <c r="W13" s="35"/>
    </row>
    <row r="14" spans="1:23" x14ac:dyDescent="0.2">
      <c r="A14" s="16" t="s">
        <v>37</v>
      </c>
      <c r="B14" s="36">
        <v>9</v>
      </c>
      <c r="C14" s="23" t="s">
        <v>54</v>
      </c>
      <c r="D14" s="20">
        <v>-0.12903225806451613</v>
      </c>
      <c r="E14" s="17">
        <v>-0.45161290322580644</v>
      </c>
      <c r="F14" s="22">
        <v>0.58064516129032262</v>
      </c>
      <c r="G14" s="20">
        <v>-0.41935483870967744</v>
      </c>
      <c r="H14" s="22">
        <v>-0.93548387096774188</v>
      </c>
      <c r="I14" s="20">
        <v>-0.22580645161290322</v>
      </c>
      <c r="J14" s="22">
        <v>-6.4516129032258063E-2</v>
      </c>
      <c r="K14" s="22">
        <v>64.111111111111114</v>
      </c>
      <c r="L14" s="24" t="s">
        <v>157</v>
      </c>
      <c r="M14" s="27">
        <v>46.5</v>
      </c>
      <c r="N14" s="18" t="s">
        <v>146</v>
      </c>
      <c r="O14" s="18" t="s">
        <v>146</v>
      </c>
      <c r="P14" s="16"/>
      <c r="Q14" s="16"/>
      <c r="R14" s="16"/>
      <c r="S14" s="16"/>
      <c r="T14" s="16"/>
      <c r="U14" s="16"/>
      <c r="V14" s="16"/>
      <c r="W14" s="35"/>
    </row>
    <row r="15" spans="1:23" x14ac:dyDescent="0.2">
      <c r="A15" s="16" t="s">
        <v>38</v>
      </c>
      <c r="B15" s="36">
        <v>9</v>
      </c>
      <c r="C15" s="23" t="s">
        <v>22</v>
      </c>
      <c r="D15" s="20">
        <v>-0.16129032258064516</v>
      </c>
      <c r="E15" s="17">
        <v>-0.90322580645161288</v>
      </c>
      <c r="F15" s="22">
        <v>-0.61290322580645162</v>
      </c>
      <c r="G15" s="20">
        <v>0.22580645161290322</v>
      </c>
      <c r="H15" s="22">
        <v>-3.2258064516129031E-2</v>
      </c>
      <c r="I15" s="20">
        <v>-0.41935483870967744</v>
      </c>
      <c r="J15" s="22">
        <v>9.6774193548387094E-2</v>
      </c>
      <c r="K15" s="22">
        <v>58.888888888888893</v>
      </c>
      <c r="L15" s="24" t="s">
        <v>86</v>
      </c>
      <c r="M15" s="27">
        <v>44</v>
      </c>
      <c r="N15" s="18" t="s">
        <v>146</v>
      </c>
      <c r="O15" s="18" t="s">
        <v>146</v>
      </c>
      <c r="P15" s="16"/>
      <c r="Q15" s="16"/>
      <c r="R15" s="16"/>
      <c r="S15" s="16"/>
      <c r="T15" s="16"/>
      <c r="U15" s="16"/>
      <c r="V15" s="16"/>
      <c r="W15" s="35"/>
    </row>
    <row r="16" spans="1:23" x14ac:dyDescent="0.2">
      <c r="A16" s="16" t="s">
        <v>39</v>
      </c>
      <c r="B16" s="36">
        <v>8</v>
      </c>
      <c r="C16" s="23" t="s">
        <v>35</v>
      </c>
      <c r="D16" s="20">
        <v>0.12903225806451613</v>
      </c>
      <c r="E16" s="17">
        <v>0.41935483870967744</v>
      </c>
      <c r="F16" s="22">
        <v>0.41935483870967744</v>
      </c>
      <c r="G16" s="20">
        <v>-0.41935483870967744</v>
      </c>
      <c r="H16" s="22">
        <v>-0.58064516129032262</v>
      </c>
      <c r="I16" s="20">
        <v>3.2258064516129031E-2</v>
      </c>
      <c r="J16" s="22">
        <v>-0.58064516129032262</v>
      </c>
      <c r="K16" s="22">
        <v>64.0625</v>
      </c>
      <c r="L16" s="24" t="s">
        <v>248</v>
      </c>
      <c r="M16" s="27">
        <v>55</v>
      </c>
      <c r="N16" s="18" t="s">
        <v>146</v>
      </c>
      <c r="O16" s="18" t="s">
        <v>146</v>
      </c>
      <c r="P16" s="16"/>
      <c r="Q16" s="16"/>
      <c r="R16" s="16"/>
      <c r="S16" s="16"/>
      <c r="T16" s="16"/>
      <c r="U16" s="16"/>
      <c r="V16" s="16"/>
      <c r="W16" s="35"/>
    </row>
    <row r="17" spans="1:23" x14ac:dyDescent="0.2">
      <c r="A17" s="16" t="s">
        <v>40</v>
      </c>
      <c r="B17" s="36">
        <v>8</v>
      </c>
      <c r="C17" s="23" t="s">
        <v>25</v>
      </c>
      <c r="D17" s="20">
        <v>-0.54838709677419351</v>
      </c>
      <c r="E17" s="17">
        <v>9.6774193548387094E-2</v>
      </c>
      <c r="F17" s="22">
        <v>0.41935483870967744</v>
      </c>
      <c r="G17" s="20">
        <v>-0.16129032258064516</v>
      </c>
      <c r="H17" s="22">
        <v>-0.45161290322580644</v>
      </c>
      <c r="I17" s="20">
        <v>-9.6774193548387094E-2</v>
      </c>
      <c r="J17" s="22">
        <v>-0.74193548387096775</v>
      </c>
      <c r="K17" s="22">
        <v>63.5</v>
      </c>
      <c r="L17" s="24" t="s">
        <v>89</v>
      </c>
      <c r="M17" s="27">
        <v>51.5</v>
      </c>
      <c r="N17" s="18" t="s">
        <v>146</v>
      </c>
      <c r="O17" s="18" t="s">
        <v>146</v>
      </c>
      <c r="P17" s="16"/>
      <c r="Q17" s="16"/>
      <c r="R17" s="16"/>
      <c r="S17" s="16"/>
      <c r="T17" s="16"/>
      <c r="U17" s="16"/>
      <c r="V17" s="16"/>
      <c r="W17" s="35"/>
    </row>
    <row r="18" spans="1:23" x14ac:dyDescent="0.2">
      <c r="A18" s="16" t="s">
        <v>42</v>
      </c>
      <c r="B18" s="36">
        <v>9</v>
      </c>
      <c r="C18" s="23"/>
      <c r="D18" s="20" t="s">
        <v>146</v>
      </c>
      <c r="E18" s="17" t="s">
        <v>146</v>
      </c>
      <c r="F18" s="22" t="s">
        <v>146</v>
      </c>
      <c r="G18" s="20" t="s">
        <v>146</v>
      </c>
      <c r="H18" s="22" t="s">
        <v>146</v>
      </c>
      <c r="I18" s="20" t="s">
        <v>146</v>
      </c>
      <c r="J18" s="22" t="s">
        <v>146</v>
      </c>
      <c r="K18" s="22" t="s">
        <v>146</v>
      </c>
      <c r="L18" s="24"/>
      <c r="M18" s="27"/>
      <c r="N18" s="18" t="s">
        <v>146</v>
      </c>
      <c r="O18" s="18" t="s">
        <v>146</v>
      </c>
      <c r="P18" s="16"/>
      <c r="Q18" s="16"/>
      <c r="R18" s="16"/>
      <c r="S18" s="16"/>
      <c r="T18" s="16"/>
      <c r="U18" s="16"/>
      <c r="V18" s="16"/>
      <c r="W18" s="35"/>
    </row>
    <row r="19" spans="1:23" x14ac:dyDescent="0.2">
      <c r="A19" s="16" t="s">
        <v>44</v>
      </c>
      <c r="B19" s="36">
        <v>8</v>
      </c>
      <c r="C19" s="23" t="s">
        <v>33</v>
      </c>
      <c r="D19" s="20">
        <v>-0.16129032258064516</v>
      </c>
      <c r="E19" s="17">
        <v>0</v>
      </c>
      <c r="F19" s="22">
        <v>6.4516129032258063E-2</v>
      </c>
      <c r="G19" s="20">
        <v>6.4516129032258063E-2</v>
      </c>
      <c r="H19" s="22">
        <v>-0.22580645161290322</v>
      </c>
      <c r="I19" s="20">
        <v>-0.12903225806451613</v>
      </c>
      <c r="J19" s="22">
        <v>-0.41935483870967744</v>
      </c>
      <c r="K19" s="22">
        <v>60.701388888888886</v>
      </c>
      <c r="L19" s="24" t="s">
        <v>229</v>
      </c>
      <c r="M19" s="27">
        <v>47.5</v>
      </c>
      <c r="N19" s="18" t="s">
        <v>146</v>
      </c>
      <c r="O19" s="18" t="s">
        <v>146</v>
      </c>
      <c r="P19" s="16"/>
      <c r="Q19" s="16"/>
      <c r="R19" s="16"/>
      <c r="S19" s="16"/>
      <c r="T19" s="16"/>
      <c r="U19" s="16"/>
      <c r="V19" s="16"/>
      <c r="W19" s="35"/>
    </row>
    <row r="20" spans="1:23" x14ac:dyDescent="0.2">
      <c r="A20" s="16" t="s">
        <v>45</v>
      </c>
      <c r="B20" s="36">
        <v>8</v>
      </c>
      <c r="C20" s="23" t="s">
        <v>21</v>
      </c>
      <c r="D20" s="20">
        <v>-0.64516129032258063</v>
      </c>
      <c r="E20" s="17">
        <v>-0.80645161290322576</v>
      </c>
      <c r="F20" s="22">
        <v>6.4516129032258063E-2</v>
      </c>
      <c r="G20" s="20">
        <v>-0.77419354838709675</v>
      </c>
      <c r="H20" s="22">
        <v>-0.93548387096774188</v>
      </c>
      <c r="I20" s="20">
        <v>-0.41935483870967744</v>
      </c>
      <c r="J20" s="22">
        <v>-0.58064516129032262</v>
      </c>
      <c r="K20" s="22">
        <v>63.8125</v>
      </c>
      <c r="L20" s="24" t="s">
        <v>246</v>
      </c>
      <c r="M20" s="27">
        <v>47.5</v>
      </c>
      <c r="N20" s="18" t="s">
        <v>146</v>
      </c>
      <c r="O20" s="18" t="s">
        <v>146</v>
      </c>
      <c r="P20" s="16"/>
      <c r="Q20" s="16"/>
      <c r="R20" s="16"/>
      <c r="S20" s="16"/>
      <c r="T20" s="16"/>
      <c r="U20" s="16"/>
      <c r="V20" s="16"/>
      <c r="W20" s="35"/>
    </row>
    <row r="21" spans="1:23" x14ac:dyDescent="0.2">
      <c r="A21" s="16" t="s">
        <v>46</v>
      </c>
      <c r="B21" s="36">
        <v>8</v>
      </c>
      <c r="C21" s="23" t="s">
        <v>58</v>
      </c>
      <c r="D21" s="20">
        <v>-0.25806451612903225</v>
      </c>
      <c r="E21" s="17">
        <v>3.2258064516129031E-2</v>
      </c>
      <c r="F21" s="22">
        <v>6.4516129032258063E-2</v>
      </c>
      <c r="G21" s="20">
        <v>0</v>
      </c>
      <c r="H21" s="22">
        <v>-0.4838709677419355</v>
      </c>
      <c r="I21" s="20">
        <v>-0.4838709677419355</v>
      </c>
      <c r="J21" s="22">
        <v>-0.58064516129032262</v>
      </c>
      <c r="K21" s="22">
        <v>61.75</v>
      </c>
      <c r="L21" s="24" t="s">
        <v>96</v>
      </c>
      <c r="M21" s="27">
        <v>42</v>
      </c>
      <c r="N21" s="18" t="s">
        <v>146</v>
      </c>
      <c r="O21" s="18" t="s">
        <v>146</v>
      </c>
      <c r="P21" s="16"/>
      <c r="Q21" s="16"/>
      <c r="R21" s="16"/>
      <c r="S21" s="16"/>
      <c r="T21" s="16"/>
      <c r="U21" s="16"/>
      <c r="V21" s="16"/>
      <c r="W21" s="35"/>
    </row>
    <row r="22" spans="1:23" x14ac:dyDescent="0.2">
      <c r="A22" s="16" t="s">
        <v>47</v>
      </c>
      <c r="B22" s="36">
        <v>9</v>
      </c>
      <c r="C22" s="23" t="s">
        <v>56</v>
      </c>
      <c r="D22" s="20">
        <v>-0.12903225806451613</v>
      </c>
      <c r="E22" s="17">
        <v>0</v>
      </c>
      <c r="F22" s="22">
        <v>0.29032258064516131</v>
      </c>
      <c r="G22" s="20">
        <v>-0.16129032258064516</v>
      </c>
      <c r="H22" s="22">
        <v>0.45161290322580644</v>
      </c>
      <c r="I22" s="20">
        <v>9.6774193548387094E-2</v>
      </c>
      <c r="J22" s="22">
        <v>-0.64516129032258063</v>
      </c>
      <c r="K22" s="22">
        <v>55.444444444444443</v>
      </c>
      <c r="L22" s="24" t="s">
        <v>81</v>
      </c>
      <c r="M22" s="27">
        <v>49.5</v>
      </c>
      <c r="N22" s="18" t="s">
        <v>146</v>
      </c>
      <c r="O22" s="18" t="s">
        <v>146</v>
      </c>
      <c r="P22" s="16"/>
      <c r="Q22" s="16"/>
      <c r="R22" s="16"/>
      <c r="S22" s="16"/>
      <c r="T22" s="16"/>
      <c r="U22" s="16"/>
      <c r="V22" s="16"/>
      <c r="W22" s="35"/>
    </row>
    <row r="23" spans="1:23" x14ac:dyDescent="0.2">
      <c r="A23" s="16" t="s">
        <v>48</v>
      </c>
      <c r="B23" s="36">
        <v>9</v>
      </c>
      <c r="C23" s="23" t="s">
        <v>27</v>
      </c>
      <c r="D23" s="20">
        <v>-0.87096774193548387</v>
      </c>
      <c r="E23" s="17">
        <v>-0.74193548387096775</v>
      </c>
      <c r="F23" s="22">
        <v>3.2258064516129031E-2</v>
      </c>
      <c r="G23" s="20">
        <v>0.16129032258064516</v>
      </c>
      <c r="H23" s="22">
        <v>-9.6774193548387094E-2</v>
      </c>
      <c r="I23" s="20">
        <v>-0.58064516129032262</v>
      </c>
      <c r="J23" s="22">
        <v>-0.22580645161290322</v>
      </c>
      <c r="K23" s="22">
        <v>63.611111111111114</v>
      </c>
      <c r="L23" s="24" t="s">
        <v>89</v>
      </c>
      <c r="M23" s="27">
        <v>44</v>
      </c>
      <c r="N23" s="18" t="s">
        <v>146</v>
      </c>
      <c r="O23" s="18" t="s">
        <v>146</v>
      </c>
      <c r="P23" s="16"/>
      <c r="Q23" s="16"/>
      <c r="R23" s="16"/>
      <c r="S23" s="16"/>
      <c r="T23" s="16"/>
      <c r="U23" s="16"/>
      <c r="V23" s="16"/>
      <c r="W23" s="35"/>
    </row>
    <row r="24" spans="1:23" x14ac:dyDescent="0.2">
      <c r="A24" s="16" t="s">
        <v>50</v>
      </c>
      <c r="B24" s="36">
        <v>9</v>
      </c>
      <c r="C24" s="23" t="s">
        <v>23</v>
      </c>
      <c r="D24" s="20">
        <v>0.19354838709677419</v>
      </c>
      <c r="E24" s="17">
        <v>0</v>
      </c>
      <c r="F24" s="22">
        <v>-0.29032258064516131</v>
      </c>
      <c r="G24" s="20">
        <v>-0.70967741935483875</v>
      </c>
      <c r="H24" s="22">
        <v>0</v>
      </c>
      <c r="I24" s="20">
        <v>-0.22580645161290322</v>
      </c>
      <c r="J24" s="22">
        <v>0.29032258064516131</v>
      </c>
      <c r="K24" s="22">
        <v>60.388888888888886</v>
      </c>
      <c r="L24" s="24" t="s">
        <v>98</v>
      </c>
      <c r="M24" s="27">
        <v>44.5</v>
      </c>
      <c r="N24" s="18" t="s">
        <v>146</v>
      </c>
      <c r="O24" s="18" t="s">
        <v>148</v>
      </c>
      <c r="P24" s="16"/>
      <c r="Q24" s="16"/>
      <c r="R24" s="16"/>
      <c r="S24" s="16"/>
      <c r="T24" s="16"/>
      <c r="U24" s="16"/>
      <c r="V24" s="16"/>
      <c r="W24" s="35"/>
    </row>
    <row r="25" spans="1:23" x14ac:dyDescent="0.2">
      <c r="A25" s="16" t="s">
        <v>51</v>
      </c>
      <c r="B25" s="36">
        <v>8</v>
      </c>
      <c r="C25" s="23" t="s">
        <v>31</v>
      </c>
      <c r="D25" s="20">
        <v>0.77419354838709675</v>
      </c>
      <c r="E25" s="17">
        <v>0.29032258064516131</v>
      </c>
      <c r="F25" s="22">
        <v>0</v>
      </c>
      <c r="G25" s="20">
        <v>6.4516129032258063E-2</v>
      </c>
      <c r="H25" s="22">
        <v>-0.25806451612903225</v>
      </c>
      <c r="I25" s="20">
        <v>3.2258064516129031E-2</v>
      </c>
      <c r="J25" s="22">
        <v>0.45161290322580644</v>
      </c>
      <c r="K25" s="22">
        <v>64.729166666666671</v>
      </c>
      <c r="L25" s="24" t="s">
        <v>154</v>
      </c>
      <c r="M25" s="27">
        <v>51.5</v>
      </c>
      <c r="N25" s="18" t="s">
        <v>147</v>
      </c>
      <c r="O25" s="18" t="s">
        <v>146</v>
      </c>
      <c r="P25" s="16"/>
      <c r="Q25" s="16"/>
      <c r="R25" s="16"/>
      <c r="S25" s="16"/>
      <c r="T25" s="16"/>
      <c r="U25" s="16"/>
      <c r="V25" s="16"/>
      <c r="W25" s="35"/>
    </row>
    <row r="26" spans="1:23" x14ac:dyDescent="0.2">
      <c r="A26" s="16" t="s">
        <v>53</v>
      </c>
      <c r="B26" s="36">
        <v>9</v>
      </c>
      <c r="C26" s="23" t="s">
        <v>16</v>
      </c>
      <c r="D26" s="20">
        <v>0.38709677419354838</v>
      </c>
      <c r="E26" s="17">
        <v>0.61290322580645162</v>
      </c>
      <c r="F26" s="22">
        <v>-0.32258064516129031</v>
      </c>
      <c r="G26" s="20">
        <v>-3.2258064516129031E-2</v>
      </c>
      <c r="H26" s="22">
        <v>0.41935483870967744</v>
      </c>
      <c r="I26" s="20">
        <v>0.32258064516129031</v>
      </c>
      <c r="J26" s="22">
        <v>0.35483870967741937</v>
      </c>
      <c r="K26" s="22">
        <v>60.125</v>
      </c>
      <c r="L26" s="24" t="s">
        <v>81</v>
      </c>
      <c r="M26" s="27">
        <v>48.5</v>
      </c>
      <c r="N26" s="18" t="s">
        <v>146</v>
      </c>
      <c r="O26" s="18" t="s">
        <v>146</v>
      </c>
      <c r="P26" s="16"/>
      <c r="Q26" s="16"/>
      <c r="R26" s="16"/>
      <c r="S26" s="16"/>
      <c r="T26" s="16"/>
      <c r="U26" s="16"/>
      <c r="V26" s="16"/>
      <c r="W26" s="35"/>
    </row>
    <row r="27" spans="1:23" x14ac:dyDescent="0.2">
      <c r="A27" s="16" t="s">
        <v>54</v>
      </c>
      <c r="B27" s="36">
        <v>8</v>
      </c>
      <c r="C27" s="23" t="s">
        <v>37</v>
      </c>
      <c r="D27" s="20">
        <v>0.35483870967741937</v>
      </c>
      <c r="E27" s="17">
        <v>-0.38709677419354838</v>
      </c>
      <c r="F27" s="22">
        <v>0.35483870967741937</v>
      </c>
      <c r="G27" s="20">
        <v>0.35483870967741937</v>
      </c>
      <c r="H27" s="22">
        <v>0.4838709677419355</v>
      </c>
      <c r="I27" s="20">
        <v>6.4516129032258063E-2</v>
      </c>
      <c r="J27" s="22">
        <v>0.45161290322580644</v>
      </c>
      <c r="K27" s="22">
        <v>64.111111111111114</v>
      </c>
      <c r="L27" s="24" t="s">
        <v>160</v>
      </c>
      <c r="M27" s="27">
        <v>46.5</v>
      </c>
      <c r="N27" s="18" t="s">
        <v>146</v>
      </c>
      <c r="O27" s="18" t="s">
        <v>146</v>
      </c>
      <c r="P27" s="16"/>
      <c r="Q27" s="16"/>
      <c r="R27" s="16"/>
      <c r="S27" s="16"/>
      <c r="T27" s="16"/>
      <c r="U27" s="16"/>
      <c r="V27" s="16"/>
      <c r="W27" s="35"/>
    </row>
    <row r="28" spans="1:23" x14ac:dyDescent="0.2">
      <c r="A28" s="16" t="s">
        <v>55</v>
      </c>
      <c r="B28" s="36">
        <v>8</v>
      </c>
      <c r="C28" s="23" t="s">
        <v>61</v>
      </c>
      <c r="D28" s="20">
        <v>-0.5161290322580645</v>
      </c>
      <c r="E28" s="17">
        <v>-0.74193548387096775</v>
      </c>
      <c r="F28" s="22">
        <v>9.6774193548387094E-2</v>
      </c>
      <c r="G28" s="20">
        <v>6.4516129032258063E-2</v>
      </c>
      <c r="H28" s="22">
        <v>0</v>
      </c>
      <c r="I28" s="20">
        <v>0.29032258064516131</v>
      </c>
      <c r="J28" s="22">
        <v>6.4516129032258063E-2</v>
      </c>
      <c r="K28" s="22">
        <v>62.173611111111114</v>
      </c>
      <c r="L28" s="24" t="s">
        <v>86</v>
      </c>
      <c r="M28" s="27">
        <v>44.5</v>
      </c>
      <c r="N28" s="18" t="s">
        <v>148</v>
      </c>
      <c r="O28" s="18" t="s">
        <v>146</v>
      </c>
      <c r="P28" s="16"/>
      <c r="Q28" s="16"/>
      <c r="R28" s="16"/>
      <c r="S28" s="16"/>
      <c r="T28" s="16"/>
      <c r="U28" s="16"/>
      <c r="V28" s="16"/>
      <c r="W28" s="35"/>
    </row>
    <row r="29" spans="1:23" x14ac:dyDescent="0.2">
      <c r="A29" s="16" t="s">
        <v>56</v>
      </c>
      <c r="B29" s="36">
        <v>8</v>
      </c>
      <c r="C29" s="23" t="s">
        <v>47</v>
      </c>
      <c r="D29" s="20">
        <v>6.4516129032258063E-2</v>
      </c>
      <c r="E29" s="17">
        <v>0.38709677419354838</v>
      </c>
      <c r="F29" s="22">
        <v>-0.54838709677419351</v>
      </c>
      <c r="G29" s="20">
        <v>0.22580645161290322</v>
      </c>
      <c r="H29" s="22">
        <v>-0.25806451612903225</v>
      </c>
      <c r="I29" s="20">
        <v>6.4516129032258063E-2</v>
      </c>
      <c r="J29" s="22">
        <v>6.4516129032258063E-2</v>
      </c>
      <c r="K29" s="22">
        <v>55.44444444444445</v>
      </c>
      <c r="L29" s="24" t="s">
        <v>90</v>
      </c>
      <c r="M29" s="27">
        <v>49.5</v>
      </c>
      <c r="N29" s="18" t="s">
        <v>146</v>
      </c>
      <c r="O29" s="18" t="s">
        <v>146</v>
      </c>
      <c r="P29" s="16"/>
      <c r="Q29" s="16"/>
      <c r="R29" s="16"/>
      <c r="S29" s="16"/>
      <c r="T29" s="16"/>
      <c r="U29" s="16"/>
      <c r="V29" s="16"/>
      <c r="W29" s="35"/>
    </row>
    <row r="30" spans="1:23" x14ac:dyDescent="0.2">
      <c r="A30" s="16" t="s">
        <v>58</v>
      </c>
      <c r="B30" s="36">
        <v>8</v>
      </c>
      <c r="C30" s="23" t="s">
        <v>46</v>
      </c>
      <c r="D30" s="20">
        <v>0.16129032258064516</v>
      </c>
      <c r="E30" s="17">
        <v>0.22580645161290322</v>
      </c>
      <c r="F30" s="22">
        <v>-0.32258064516129031</v>
      </c>
      <c r="G30" s="20">
        <v>-0.41935483870967744</v>
      </c>
      <c r="H30" s="22">
        <v>0.29032258064516131</v>
      </c>
      <c r="I30" s="20">
        <v>-0.25806451612903225</v>
      </c>
      <c r="J30" s="22">
        <v>0.19354838709677419</v>
      </c>
      <c r="K30" s="22">
        <v>61.75</v>
      </c>
      <c r="L30" s="24" t="s">
        <v>87</v>
      </c>
      <c r="M30" s="27">
        <v>42</v>
      </c>
      <c r="N30" s="18" t="s">
        <v>146</v>
      </c>
      <c r="O30" s="18" t="s">
        <v>146</v>
      </c>
      <c r="P30" s="16"/>
      <c r="Q30" s="16"/>
      <c r="R30" s="16"/>
      <c r="S30" s="16"/>
      <c r="T30" s="16"/>
      <c r="U30" s="16"/>
      <c r="V30" s="16"/>
      <c r="W30" s="35"/>
    </row>
    <row r="31" spans="1:23" x14ac:dyDescent="0.2">
      <c r="A31" s="16" t="s">
        <v>59</v>
      </c>
      <c r="B31" s="36">
        <v>9</v>
      </c>
      <c r="C31" s="23"/>
      <c r="D31" s="20" t="s">
        <v>146</v>
      </c>
      <c r="E31" s="17" t="s">
        <v>146</v>
      </c>
      <c r="F31" s="22" t="s">
        <v>146</v>
      </c>
      <c r="G31" s="20" t="s">
        <v>146</v>
      </c>
      <c r="H31" s="22" t="s">
        <v>146</v>
      </c>
      <c r="I31" s="20" t="s">
        <v>146</v>
      </c>
      <c r="J31" s="22" t="s">
        <v>146</v>
      </c>
      <c r="K31" s="22" t="s">
        <v>146</v>
      </c>
      <c r="L31" s="24"/>
      <c r="M31" s="27"/>
      <c r="N31" s="18" t="s">
        <v>146</v>
      </c>
      <c r="O31" s="18" t="s">
        <v>146</v>
      </c>
      <c r="P31" s="16"/>
      <c r="Q31" s="16"/>
      <c r="R31" s="16"/>
      <c r="S31" s="16"/>
      <c r="T31" s="16"/>
      <c r="U31" s="16"/>
      <c r="V31" s="16"/>
      <c r="W31" s="35"/>
    </row>
    <row r="32" spans="1:23" x14ac:dyDescent="0.2">
      <c r="A32" s="16" t="s">
        <v>61</v>
      </c>
      <c r="B32" s="36">
        <v>9</v>
      </c>
      <c r="C32" s="23" t="s">
        <v>55</v>
      </c>
      <c r="D32" s="20">
        <v>0.29032258064516131</v>
      </c>
      <c r="E32" s="17">
        <v>-0.22580645161290322</v>
      </c>
      <c r="F32" s="22">
        <v>-3.2258064516129031E-2</v>
      </c>
      <c r="G32" s="20">
        <v>-0.45161290322580644</v>
      </c>
      <c r="H32" s="22">
        <v>0.12903225806451613</v>
      </c>
      <c r="I32" s="20">
        <v>-0.29032258064516131</v>
      </c>
      <c r="J32" s="22">
        <v>0.12903225806451613</v>
      </c>
      <c r="K32" s="22">
        <v>62.173611111111114</v>
      </c>
      <c r="L32" s="24" t="s">
        <v>84</v>
      </c>
      <c r="M32" s="27">
        <v>44.5</v>
      </c>
      <c r="N32" s="18" t="s">
        <v>146</v>
      </c>
      <c r="O32" s="18" t="s">
        <v>146</v>
      </c>
      <c r="P32" s="16"/>
      <c r="Q32" s="16"/>
      <c r="R32" s="16"/>
      <c r="S32" s="16"/>
      <c r="T32" s="16"/>
      <c r="U32" s="16"/>
      <c r="V32" s="16"/>
      <c r="W32" s="35"/>
    </row>
    <row r="33" spans="1:23" x14ac:dyDescent="0.2">
      <c r="A33" s="16" t="s">
        <v>62</v>
      </c>
      <c r="B33" s="36">
        <v>8</v>
      </c>
      <c r="C33" s="23" t="s">
        <v>29</v>
      </c>
      <c r="D33" s="20">
        <v>-0.25806451612903225</v>
      </c>
      <c r="E33" s="17">
        <v>0.32258064516129031</v>
      </c>
      <c r="F33" s="22">
        <v>-0.22580645161290322</v>
      </c>
      <c r="G33" s="20">
        <v>0.74193548387096775</v>
      </c>
      <c r="H33" s="22">
        <v>0.67741935483870963</v>
      </c>
      <c r="I33" s="20">
        <v>3.2258064516129031E-2</v>
      </c>
      <c r="J33" s="22">
        <v>-9.6774193548387094E-2</v>
      </c>
      <c r="K33" s="22">
        <v>64.25</v>
      </c>
      <c r="L33" s="24" t="s">
        <v>154</v>
      </c>
      <c r="M33" s="27">
        <v>52</v>
      </c>
      <c r="N33" s="18" t="s">
        <v>146</v>
      </c>
      <c r="O33" s="18" t="s">
        <v>147</v>
      </c>
      <c r="P33" s="16"/>
      <c r="Q33" s="16"/>
      <c r="R33" s="16"/>
      <c r="S33" s="16"/>
      <c r="T33" s="16"/>
      <c r="U33" s="16"/>
      <c r="V33" s="16"/>
      <c r="W33" s="35"/>
    </row>
  </sheetData>
  <conditionalFormatting sqref="D2:D33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2:G33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3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2:F33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2:H33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2:I33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2:J33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2:K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12 M20:M33 M14:M18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9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2:M3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(pass off)</vt:lpstr>
      <vt:lpstr>Team Passing</vt:lpstr>
      <vt:lpstr>(rush off)</vt:lpstr>
      <vt:lpstr>Team Rushing</vt:lpstr>
      <vt:lpstr>(pass def)</vt:lpstr>
      <vt:lpstr>(rec def)</vt:lpstr>
      <vt:lpstr>Team Passing Def</vt:lpstr>
      <vt:lpstr>(rush def)</vt:lpstr>
      <vt:lpstr>Team Rushing Def</vt:lpstr>
      <vt:lpstr>CURRENT WEEK</vt:lpstr>
      <vt:lpstr>Schedule Ordered</vt:lpstr>
      <vt:lpstr>SCHEDULE</vt:lpstr>
      <vt:lpstr>WEEK 6</vt:lpstr>
      <vt:lpstr>WEEK 7</vt:lpstr>
      <vt:lpstr>WEEK 9</vt:lpstr>
      <vt:lpstr>Week __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2021-10-12T18:22:21Z</dcterms:created>
  <dcterms:modified xsi:type="dcterms:W3CDTF">2021-12-17T21:41:28Z</dcterms:modified>
</cp:coreProperties>
</file>